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9a98641ab4cd53fe/Documents/WTAMU Docs and Assignments/Sem in Data Analytics/"/>
    </mc:Choice>
  </mc:AlternateContent>
  <xr:revisionPtr revIDLastSave="246" documentId="13_ncr:1_{6C63F40D-BCBB-45C9-BF3E-DEDEF198CF16}" xr6:coauthVersionLast="47" xr6:coauthVersionMax="47" xr10:uidLastSave="{48A8C51D-05B2-430C-AA9F-B74E66590045}"/>
  <bookViews>
    <workbookView xWindow="-110" yWindow="-110" windowWidth="19420" windowHeight="10300" tabRatio="452" firstSheet="3" activeTab="4" xr2:uid="{00000000-000D-0000-FFFF-FFFF00000000}"/>
  </bookViews>
  <sheets>
    <sheet name="Sheet1" sheetId="8" r:id="rId1"/>
    <sheet name="Sheet5" sheetId="12" r:id="rId2"/>
    <sheet name="Student_Response_2024" sheetId="7" r:id="rId3"/>
    <sheet name="Q 4&amp;5" sheetId="10" r:id="rId4"/>
    <sheet name="Q 2&amp;3" sheetId="9" r:id="rId5"/>
    <sheet name="Variable_Definition " sheetId="2" r:id="rId6"/>
  </sheets>
  <definedNames>
    <definedName name="_xlnm._FilterDatabase" localSheetId="2" hidden="1">Student_Response_2024!$A$1:$AT$45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7" i="7" l="1"/>
  <c r="AO47" i="7"/>
  <c r="AP47" i="7"/>
  <c r="AQ47" i="7"/>
  <c r="AR47" i="7"/>
  <c r="AS47" i="7"/>
  <c r="AT47" i="7"/>
  <c r="AM47" i="7"/>
  <c r="N24" i="10"/>
  <c r="N37" i="10"/>
  <c r="N25" i="10"/>
  <c r="N23" i="10"/>
  <c r="N3" i="10"/>
  <c r="N4" i="10"/>
  <c r="N32" i="10"/>
  <c r="N34" i="10"/>
  <c r="N33" i="10"/>
  <c r="N29" i="10"/>
  <c r="N30" i="10"/>
  <c r="N36" i="10"/>
  <c r="N27" i="10"/>
  <c r="N28" i="10"/>
  <c r="N5" i="10"/>
  <c r="N35" i="10"/>
  <c r="N15" i="10"/>
  <c r="N6" i="10"/>
  <c r="N7" i="10"/>
  <c r="N16" i="10"/>
  <c r="N17" i="10"/>
  <c r="N31" i="10"/>
  <c r="N26" i="10"/>
  <c r="N8" i="10"/>
  <c r="N9" i="10"/>
  <c r="N18" i="10"/>
  <c r="N10" i="10"/>
  <c r="N11" i="10"/>
  <c r="N12" i="10"/>
  <c r="N13" i="10"/>
  <c r="N19" i="10"/>
  <c r="N20" i="10"/>
  <c r="N21" i="10"/>
  <c r="N22" i="10"/>
  <c r="N14" i="10"/>
  <c r="N2" i="10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F47" i="7"/>
  <c r="B83" i="7"/>
  <c r="B82" i="7"/>
  <c r="B81" i="7"/>
  <c r="B79" i="7"/>
  <c r="B78" i="7"/>
  <c r="B51" i="7"/>
  <c r="B52" i="7"/>
  <c r="B53" i="7"/>
  <c r="B54" i="7"/>
  <c r="B55" i="7"/>
  <c r="B56" i="7"/>
  <c r="B57" i="7"/>
  <c r="B58" i="7"/>
  <c r="B50" i="7"/>
  <c r="B80" i="7" l="1"/>
</calcChain>
</file>

<file path=xl/sharedStrings.xml><?xml version="1.0" encoding="utf-8"?>
<sst xmlns="http://schemas.openxmlformats.org/spreadsheetml/2006/main" count="593" uniqueCount="269">
  <si>
    <t>Response_ID</t>
  </si>
  <si>
    <t>RecordedDate</t>
  </si>
  <si>
    <t>Duration</t>
  </si>
  <si>
    <t>Q1_1</t>
  </si>
  <si>
    <t>Q1_2</t>
  </si>
  <si>
    <t>Q1_3</t>
  </si>
  <si>
    <t>Q1_4</t>
  </si>
  <si>
    <t>Q1_5</t>
  </si>
  <si>
    <t>Q1_6</t>
  </si>
  <si>
    <t>Q1_7</t>
  </si>
  <si>
    <t>Q1_8</t>
  </si>
  <si>
    <t>Q1_9</t>
  </si>
  <si>
    <t>Q1_10</t>
  </si>
  <si>
    <t>Q1_11</t>
  </si>
  <si>
    <t>Q1_12</t>
  </si>
  <si>
    <t>Q1_13</t>
  </si>
  <si>
    <t>Q1_14</t>
  </si>
  <si>
    <t>Q1_15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</si>
  <si>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</si>
  <si>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</si>
  <si>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</si>
  <si>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</si>
  <si>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</si>
  <si>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</si>
  <si>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</si>
  <si>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</si>
  <si>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</si>
  <si>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</si>
  <si>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</si>
  <si>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</si>
  <si>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Q2_13</t>
  </si>
  <si>
    <t>Q2_14</t>
  </si>
  <si>
    <t>Q2_15</t>
  </si>
  <si>
    <t>Q3</t>
  </si>
  <si>
    <t>Q4</t>
  </si>
  <si>
    <t>Q4_1</t>
  </si>
  <si>
    <t>Q4_2</t>
  </si>
  <si>
    <t>Q4_3</t>
  </si>
  <si>
    <t>Q4_4</t>
  </si>
  <si>
    <t>Q4_5</t>
  </si>
  <si>
    <t>Q4_6</t>
  </si>
  <si>
    <t>Q4_7</t>
  </si>
  <si>
    <t>Variable name</t>
  </si>
  <si>
    <t>Description</t>
  </si>
  <si>
    <t>The unique number to identify each response</t>
  </si>
  <si>
    <t>The scale from Q1_1 to Q2_15</t>
  </si>
  <si>
    <t>Scale</t>
  </si>
  <si>
    <t>Meaning</t>
  </si>
  <si>
    <t>How much time this student spent on this survey, in seconds</t>
  </si>
  <si>
    <t>Not at all</t>
  </si>
  <si>
    <t>How capable are you in</t>
  </si>
  <si>
    <t xml:space="preserve">Big data analytics </t>
  </si>
  <si>
    <t>Slightly</t>
  </si>
  <si>
    <t xml:space="preserve">Pivot Table </t>
  </si>
  <si>
    <t>Moderately</t>
  </si>
  <si>
    <t xml:space="preserve">SQL Database </t>
  </si>
  <si>
    <t>Highly</t>
  </si>
  <si>
    <t xml:space="preserve">ANOVA </t>
  </si>
  <si>
    <t xml:space="preserve">Multiple Regression </t>
  </si>
  <si>
    <t xml:space="preserve">Hypothesis Testing </t>
  </si>
  <si>
    <t xml:space="preserve">Logistic Regression </t>
  </si>
  <si>
    <t xml:space="preserve">Cluster Analysis </t>
  </si>
  <si>
    <t xml:space="preserve">Correlation Analysis </t>
  </si>
  <si>
    <t xml:space="preserve">Data Integration </t>
  </si>
  <si>
    <t>Data Preparation</t>
  </si>
  <si>
    <t xml:space="preserve">Data Visualization </t>
  </si>
  <si>
    <t xml:space="preserve">Business Intelligence </t>
  </si>
  <si>
    <t xml:space="preserve">Social Network Analytics </t>
  </si>
  <si>
    <t>To what degree you want to learn</t>
  </si>
  <si>
    <t>The scale from Q3</t>
  </si>
  <si>
    <t>Software Name</t>
  </si>
  <si>
    <t>RapidMiner</t>
  </si>
  <si>
    <t>Tableau</t>
  </si>
  <si>
    <t>SAS</t>
  </si>
  <si>
    <t>SPSS</t>
  </si>
  <si>
    <t>Google Analytics</t>
  </si>
  <si>
    <t>Microsoft Excel</t>
  </si>
  <si>
    <t>Microsoft Power BI</t>
  </si>
  <si>
    <t>Which of the following statistical or analytic software have you used before? (Choose all that apply)</t>
  </si>
  <si>
    <t>Hadoop</t>
  </si>
  <si>
    <t>Python</t>
  </si>
  <si>
    <t>In this semester, please write down how many hours each week you can exclusively spend on this course?</t>
  </si>
  <si>
    <t>Minitab</t>
  </si>
  <si>
    <t>the percentage of hours you can allocate on this course on Sundays</t>
  </si>
  <si>
    <t>XLMiner</t>
  </si>
  <si>
    <t>the percentage of hours you can allocate on this course on Mondays</t>
  </si>
  <si>
    <t>the percentage of hours you can allocate on this course on Tuesdays</t>
  </si>
  <si>
    <t>the percentage of hours you can allocate on this course on Wednesdays</t>
  </si>
  <si>
    <t>the percentage of hours you can allocate on this course on Thursdays</t>
  </si>
  <si>
    <t>the percentage of hours you can allocate on this course on Fridays</t>
  </si>
  <si>
    <t>the percentage of hours you can allocate on this course on Saturdays</t>
  </si>
  <si>
    <t>Predictive Modeling</t>
  </si>
  <si>
    <t>3,13</t>
  </si>
  <si>
    <t>3,9,13,17</t>
  </si>
  <si>
    <t>3,9,13</t>
  </si>
  <si>
    <t>3,17</t>
  </si>
  <si>
    <t>MicroStrategy</t>
  </si>
  <si>
    <t>JMP</t>
  </si>
  <si>
    <t>MATLAB</t>
  </si>
  <si>
    <t>Mplus</t>
  </si>
  <si>
    <t>PLS</t>
  </si>
  <si>
    <t>Salesforce Analytics</t>
  </si>
  <si>
    <t>Stata</t>
  </si>
  <si>
    <t>Alteryx</t>
  </si>
  <si>
    <t>Qlik</t>
  </si>
  <si>
    <t>MSFE</t>
  </si>
  <si>
    <t>MBA Healthcare</t>
  </si>
  <si>
    <t>MBA General</t>
  </si>
  <si>
    <t>MBA CIS</t>
  </si>
  <si>
    <t>MBA Management</t>
  </si>
  <si>
    <t>MS CISBA</t>
  </si>
  <si>
    <t>3,8</t>
  </si>
  <si>
    <t>Esri GIS</t>
  </si>
  <si>
    <t>TOAD</t>
  </si>
  <si>
    <t>SAP BODS</t>
  </si>
  <si>
    <t>I have never used any software listed above</t>
  </si>
  <si>
    <t>R</t>
  </si>
  <si>
    <t>SQL</t>
  </si>
  <si>
    <t>3,4,9,13,17</t>
  </si>
  <si>
    <t>3,9,10,11,13</t>
  </si>
  <si>
    <t>Time Series Forecasting</t>
  </si>
  <si>
    <t>Q1_16</t>
  </si>
  <si>
    <t>Q2_16</t>
  </si>
  <si>
    <t>3,12,13,17,23</t>
  </si>
  <si>
    <t>SYSTAT</t>
  </si>
  <si>
    <t>Sigmaplot</t>
  </si>
  <si>
    <t>Looker</t>
  </si>
  <si>
    <t>Microsoft Access</t>
  </si>
  <si>
    <t>DOMO BI</t>
  </si>
  <si>
    <t>DB  Browser (SQLite)</t>
  </si>
  <si>
    <t>Note</t>
  </si>
  <si>
    <t>2024SP_01</t>
  </si>
  <si>
    <t>2024SP_02</t>
  </si>
  <si>
    <t>2024SP_03</t>
  </si>
  <si>
    <t>2024SP_04</t>
  </si>
  <si>
    <t>2024SP_05</t>
  </si>
  <si>
    <t>2024SP_06</t>
  </si>
  <si>
    <t>2024SP_07</t>
  </si>
  <si>
    <t>2024SP_08</t>
  </si>
  <si>
    <t>2024SP_09</t>
  </si>
  <si>
    <t>2024SP_10</t>
  </si>
  <si>
    <t>2024SP_11</t>
  </si>
  <si>
    <t>2024SP_12</t>
  </si>
  <si>
    <t>2024SP_13</t>
  </si>
  <si>
    <t>2024SP_14</t>
  </si>
  <si>
    <t>2024SP_15</t>
  </si>
  <si>
    <t>2024SP_16</t>
  </si>
  <si>
    <t>2024SP_17</t>
  </si>
  <si>
    <t>2024SP_18</t>
  </si>
  <si>
    <t>2024SP_19</t>
  </si>
  <si>
    <t>2024SP_20</t>
  </si>
  <si>
    <t>2024SP_21</t>
  </si>
  <si>
    <t>2024SP_22</t>
  </si>
  <si>
    <t>2024SP_23</t>
  </si>
  <si>
    <t>2024SP_24</t>
  </si>
  <si>
    <t>2024SP_25</t>
  </si>
  <si>
    <t>2024SP_26</t>
  </si>
  <si>
    <t>2024SP_27</t>
  </si>
  <si>
    <t>2024SP_28</t>
  </si>
  <si>
    <t>2024SP_29</t>
  </si>
  <si>
    <t>2024SP_30</t>
  </si>
  <si>
    <t>2024SP_31</t>
  </si>
  <si>
    <t>2024SP_32</t>
  </si>
  <si>
    <t>2024SP_33</t>
  </si>
  <si>
    <t>2024SP_34</t>
  </si>
  <si>
    <t>2024SP_35</t>
  </si>
  <si>
    <t>2024SP_36</t>
  </si>
  <si>
    <t>2024SP_37</t>
  </si>
  <si>
    <t>2024SP_38</t>
  </si>
  <si>
    <t>2024SP_39</t>
  </si>
  <si>
    <t>2024SP_40</t>
  </si>
  <si>
    <t>2024SP_41</t>
  </si>
  <si>
    <t>Section</t>
  </si>
  <si>
    <t>2024SP_42</t>
  </si>
  <si>
    <t>2024SP_43</t>
  </si>
  <si>
    <t>2024SP_44</t>
  </si>
  <si>
    <t>CIDM 6308</t>
  </si>
  <si>
    <t>ECON 6308</t>
  </si>
  <si>
    <t>3,10,13,14,17,21</t>
  </si>
  <si>
    <t>3,8,13,15,17,23</t>
  </si>
  <si>
    <t>2,3</t>
  </si>
  <si>
    <t>3,9,10,11,15,17,22,23</t>
  </si>
  <si>
    <t>2,3,14,23,24</t>
  </si>
  <si>
    <t>3,5,8,12</t>
  </si>
  <si>
    <t>3,9,13,14,15,17</t>
  </si>
  <si>
    <t>3,4,8,9,12,13,17</t>
  </si>
  <si>
    <t>3,8,9,10,12,13,17,23,24</t>
  </si>
  <si>
    <t>3,18</t>
  </si>
  <si>
    <t>3,10,13,17</t>
  </si>
  <si>
    <t>3,24</t>
  </si>
  <si>
    <t>3,12,17</t>
  </si>
  <si>
    <t>3,4,5,9,10,11,13,17,23</t>
  </si>
  <si>
    <t>3,9,11,13,17</t>
  </si>
  <si>
    <t>3,8,23</t>
  </si>
  <si>
    <t>3,9,11,13,14</t>
  </si>
  <si>
    <t>3,12,13</t>
  </si>
  <si>
    <t>3,15,17</t>
  </si>
  <si>
    <t>3,8,15,17,23</t>
  </si>
  <si>
    <t>3,9,10,13,15,17</t>
  </si>
  <si>
    <t>10,11,17</t>
  </si>
  <si>
    <t>3,8,13,14,17</t>
  </si>
  <si>
    <t>MS Access</t>
  </si>
  <si>
    <t>Crystal Report</t>
  </si>
  <si>
    <t>SEEQ</t>
  </si>
  <si>
    <t>Ignition</t>
  </si>
  <si>
    <t>3,9,13,32,33</t>
  </si>
  <si>
    <t>3,9,10,12,13,17,23,27</t>
  </si>
  <si>
    <t>3,13,34,35</t>
  </si>
  <si>
    <t>MBA Procurement</t>
  </si>
  <si>
    <t>The program in which each student is enrolled.</t>
  </si>
  <si>
    <t>When this response was recorded</t>
  </si>
  <si>
    <t>The section in which this student is taking the course, either CIDM 6308 or ECON 6308. For the 2022 and 2023 data, this variable indicates the mode (online or on-campus).</t>
  </si>
  <si>
    <t>Program</t>
  </si>
  <si>
    <t>MBA Marketing</t>
  </si>
  <si>
    <t>MPA</t>
  </si>
  <si>
    <t>Count</t>
  </si>
  <si>
    <t>QUESTION 1.2</t>
  </si>
  <si>
    <t>Row Labels</t>
  </si>
  <si>
    <t>Grand Total</t>
  </si>
  <si>
    <t>Count of Duration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</si>
  <si>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</si>
  <si>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</si>
  <si>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</si>
  <si>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</si>
  <si>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</si>
  <si>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</si>
  <si>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</si>
  <si>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</si>
  <si>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</si>
  <si>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21-Jan</t>
  </si>
  <si>
    <t>24-Jan</t>
  </si>
  <si>
    <t>We got the highest number of responses on January 16. 10 responses were received that day.</t>
  </si>
  <si>
    <t>Question 1.3</t>
  </si>
  <si>
    <t>Min of duration</t>
  </si>
  <si>
    <t>Max of duration</t>
  </si>
  <si>
    <t>Range</t>
  </si>
  <si>
    <t>Average</t>
  </si>
  <si>
    <t>Median</t>
  </si>
  <si>
    <t>Standard Deviation</t>
  </si>
  <si>
    <t>Question 1.4.1,2</t>
  </si>
  <si>
    <t>Question 1.4.3</t>
  </si>
  <si>
    <t>Less that 240</t>
  </si>
  <si>
    <t>More than 3600</t>
  </si>
  <si>
    <t>Skill</t>
  </si>
  <si>
    <t xml:space="preserve">Highest capability </t>
  </si>
  <si>
    <t>Lowest Cap</t>
  </si>
  <si>
    <t>Pivot Table (2.73)</t>
  </si>
  <si>
    <t>Social Network Analytics (1.64)</t>
  </si>
  <si>
    <t>Top 3</t>
  </si>
  <si>
    <t>Time Series Forecasting (3.57)</t>
  </si>
  <si>
    <t>Social Network Analytics(3.48)</t>
  </si>
  <si>
    <t>Predictive Modeling (3.43)</t>
  </si>
  <si>
    <t>Software</t>
  </si>
  <si>
    <t>Frequency</t>
  </si>
  <si>
    <t>Question 4.2.1</t>
  </si>
  <si>
    <t>Question 4.2.2</t>
  </si>
  <si>
    <t>Question 4.2.3</t>
  </si>
  <si>
    <t>12 softwares have never been used</t>
  </si>
  <si>
    <t>Question 5.1</t>
  </si>
  <si>
    <t>Average # of hours</t>
  </si>
  <si>
    <t>Average of Q4</t>
  </si>
  <si>
    <t>Question 5.2</t>
  </si>
  <si>
    <t>Sunday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</si>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</sst>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/>
    </xf>
    <xf numFmtId="22" fontId="0" fillId="0" borderId="0" xfId="0" applyNumberFormat="1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0" xfId="0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capabilities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2&amp;3'!$B$1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 2&amp;3'!$A$2:$A$17</c:f>
              <c:strCache>
                <c:ptCount val="16"/>
                <c:pt idx="0">
                  <c:v>Social Network Analytics </c:v>
                </c:pt>
                <c:pt idx="1">
                  <c:v>Cluster Analysis </c:v>
                </c:pt>
                <c:pt idx="2">
                  <c:v>Logistic Regression </c:v>
                </c:pt>
                <c:pt idx="3">
                  <c:v>Predictive Modeling</c:v>
                </c:pt>
                <c:pt idx="4">
                  <c:v>ANOVA </c:v>
                </c:pt>
                <c:pt idx="5">
                  <c:v>SQL Database </c:v>
                </c:pt>
                <c:pt idx="6">
                  <c:v>Big data analytics </c:v>
                </c:pt>
                <c:pt idx="7">
                  <c:v>Time Series Forecasting</c:v>
                </c:pt>
                <c:pt idx="8">
                  <c:v>Data Integration </c:v>
                </c:pt>
                <c:pt idx="9">
                  <c:v>Multiple Regression </c:v>
                </c:pt>
                <c:pt idx="10">
                  <c:v>Business Intelligence </c:v>
                </c:pt>
                <c:pt idx="11">
                  <c:v>Data Preparation</c:v>
                </c:pt>
                <c:pt idx="12">
                  <c:v>Hypothesis Testing </c:v>
                </c:pt>
                <c:pt idx="13">
                  <c:v>Correlation Analysis </c:v>
                </c:pt>
                <c:pt idx="14">
                  <c:v>Data Visualization </c:v>
                </c:pt>
                <c:pt idx="15">
                  <c:v>Pivot Table </c:v>
                </c:pt>
              </c:strCache>
            </c:strRef>
          </c:cat>
          <c:val>
            <c:numRef>
              <c:f>'Q 2&amp;3'!$B$2:$B$17</c:f>
              <c:numCache>
                <c:formatCode>0.00</c:formatCode>
                <c:ptCount val="16"/>
                <c:pt idx="0">
                  <c:v>1.6363636363636365</c:v>
                </c:pt>
                <c:pt idx="1">
                  <c:v>1.8409090909090908</c:v>
                </c:pt>
                <c:pt idx="2">
                  <c:v>1.8636363636363635</c:v>
                </c:pt>
                <c:pt idx="3">
                  <c:v>1.9772727272727273</c:v>
                </c:pt>
                <c:pt idx="4">
                  <c:v>2</c:v>
                </c:pt>
                <c:pt idx="5">
                  <c:v>2.0454545454545454</c:v>
                </c:pt>
                <c:pt idx="6">
                  <c:v>2.0681818181818183</c:v>
                </c:pt>
                <c:pt idx="7">
                  <c:v>2.0681818181818183</c:v>
                </c:pt>
                <c:pt idx="8">
                  <c:v>2.1136363636363638</c:v>
                </c:pt>
                <c:pt idx="9">
                  <c:v>2.1363636363636362</c:v>
                </c:pt>
                <c:pt idx="10">
                  <c:v>2.2272727272727271</c:v>
                </c:pt>
                <c:pt idx="11">
                  <c:v>2.2954545454545454</c:v>
                </c:pt>
                <c:pt idx="12">
                  <c:v>2.3409090909090908</c:v>
                </c:pt>
                <c:pt idx="13">
                  <c:v>2.3409090909090908</c:v>
                </c:pt>
                <c:pt idx="14">
                  <c:v>2.5454545454545454</c:v>
                </c:pt>
                <c:pt idx="15">
                  <c:v>2.7272727272727271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B-495C-A7D7-44DC0C3FE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810975"/>
        <c:axId val="837804255"/>
      </c:barChart>
      <c:catAx>
        <c:axId val="83781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04255"/>
        <c:crosses val="autoZero"/>
        <c:auto val="1"/>
        <c:lblAlgn val="ctr"/>
        <c:lblOffset val="100"/>
        <c:noMultiLvlLbl val="0"/>
      </c:catAx>
      <c:valAx>
        <c:axId val="83780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1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Degrees of Willingness to Learn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 2&amp;3'!$A$24:$A$39</c:f>
              <c:strCache>
                <c:ptCount val="16"/>
                <c:pt idx="0">
                  <c:v>Big data analytics </c:v>
                </c:pt>
                <c:pt idx="1">
                  <c:v>Pivot Table </c:v>
                </c:pt>
                <c:pt idx="2">
                  <c:v>SQL Database </c:v>
                </c:pt>
                <c:pt idx="3">
                  <c:v>ANOVA </c:v>
                </c:pt>
                <c:pt idx="4">
                  <c:v>Multiple Regression </c:v>
                </c:pt>
                <c:pt idx="5">
                  <c:v>Hypothesis Testing </c:v>
                </c:pt>
                <c:pt idx="6">
                  <c:v>Logistic Regression </c:v>
                </c:pt>
                <c:pt idx="7">
                  <c:v>Cluster Analysis </c:v>
                </c:pt>
                <c:pt idx="8">
                  <c:v>Correlation Analysis </c:v>
                </c:pt>
                <c:pt idx="9">
                  <c:v>Data Integration </c:v>
                </c:pt>
                <c:pt idx="10">
                  <c:v>Data Preparation</c:v>
                </c:pt>
                <c:pt idx="11">
                  <c:v>Data Visualization </c:v>
                </c:pt>
                <c:pt idx="12">
                  <c:v>Business Intelligence </c:v>
                </c:pt>
                <c:pt idx="13">
                  <c:v>Predictive Modeling</c:v>
                </c:pt>
                <c:pt idx="14">
                  <c:v>Social Network Analytics </c:v>
                </c:pt>
                <c:pt idx="15">
                  <c:v>Time Series Forecasting</c:v>
                </c:pt>
              </c:strCache>
            </c:strRef>
          </c:cat>
          <c:val>
            <c:numRef>
              <c:f>'Q 2&amp;3'!$B$24:$B$39</c:f>
              <c:numCache>
                <c:formatCode>0.00</c:formatCode>
                <c:ptCount val="16"/>
                <c:pt idx="0">
                  <c:v>2.9545454545454546</c:v>
                </c:pt>
                <c:pt idx="1">
                  <c:v>2.9772727272727271</c:v>
                </c:pt>
                <c:pt idx="2">
                  <c:v>3.0909090909090908</c:v>
                </c:pt>
                <c:pt idx="3">
                  <c:v>3.0909090909090908</c:v>
                </c:pt>
                <c:pt idx="4">
                  <c:v>3.1136363636363638</c:v>
                </c:pt>
                <c:pt idx="5">
                  <c:v>3.1136363636363638</c:v>
                </c:pt>
                <c:pt idx="6">
                  <c:v>3.2045454545454546</c:v>
                </c:pt>
                <c:pt idx="7">
                  <c:v>3.2045454545454546</c:v>
                </c:pt>
                <c:pt idx="8">
                  <c:v>3.2954545454545454</c:v>
                </c:pt>
                <c:pt idx="9">
                  <c:v>3.3181818181818183</c:v>
                </c:pt>
                <c:pt idx="10">
                  <c:v>3.3863636363636362</c:v>
                </c:pt>
                <c:pt idx="11">
                  <c:v>3.4090909090909092</c:v>
                </c:pt>
                <c:pt idx="12">
                  <c:v>3.4090909090909092</c:v>
                </c:pt>
                <c:pt idx="13">
                  <c:v>3.4318181818181817</c:v>
                </c:pt>
                <c:pt idx="14">
                  <c:v>3.4772727272727271</c:v>
                </c:pt>
                <c:pt idx="15">
                  <c:v>3.5681818181818183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4-4DFA-9E76-F553850F4E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8310432"/>
        <c:axId val="628309952"/>
      </c:barChart>
      <c:catAx>
        <c:axId val="62831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09952"/>
        <c:crosses val="autoZero"/>
        <c:auto val="1"/>
        <c:lblAlgn val="ctr"/>
        <c:lblOffset val="100"/>
        <c:noMultiLvlLbl val="0"/>
      </c:catAx>
      <c:valAx>
        <c:axId val="62830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1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320674</xdr:colOff>
      <xdr:row>0</xdr:row>
      <xdr:rowOff>0</xdr:rowOff>
    </xdr:from>
    <xdr:to>
      <xdr:col>12</xdr:col>
      <xdr:colOff>152399</xdr:colOff>
      <xdr:row>18</xdr:row>
      <xdr:rowOff>53975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DC283F-F2F1-E69D-500A-2A86403C4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22224</xdr:colOff>
      <xdr:row>23</xdr:row>
      <xdr:rowOff>3174</xdr:rowOff>
    </xdr:from>
    <xdr:to>
      <xdr:col>10</xdr:col>
      <xdr:colOff>501649</xdr:colOff>
      <xdr:row>39</xdr:row>
      <xdr:rowOff>63499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A2898A-9C86-8784-A249-86DA2BF2E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eem shadare" refreshedDate="45545.943988541665" createdVersion="8" refreshedVersion="8" minRefreshableVersion="3" recordCount="44" xr:uid="{8F5C852A-7785-49AC-B2FC-0AB318AA1FFF}">
  <cacheSource type="worksheet">
    <worksheetSource ref="A1:AT45" sheet="Student_Response_2024"/>
  </cacheSource>
  <cacheFields count="50">
    <cacheField name="Response_ID" numFmtId="0">
      <sharedItems/>
    </cacheField>
    <cacheField name="Section" numFmtId="0">
      <sharedItems count="2">
        <s v="ECON 6308"/>
        <s v="CIDM 6308"/>
      </sharedItems>
    </cacheField>
    <cacheField name="Program" numFmtId="0">
      <sharedItems count="7">
        <s v="MBA General"/>
        <s v="MSFE"/>
        <s v="MS CISBA"/>
        <s v="MBA CIS"/>
        <s v="MBA Procurement"/>
        <s v="MBA Healthcare"/>
        <s v="MBA Management"/>
      </sharedItems>
    </cacheField>
    <cacheField name="RecordedDate" numFmtId="22">
      <sharedItems containsSemiMixedTypes="0" containsNonDate="0" containsDate="1" containsString="0" minDate="2024-01-11T08:35:22" maxDate="2024-01-24T13:03:30" count="44">
        <d v="2024-01-11T08:35:22"/>
        <d v="2024-01-11T10:30:31"/>
        <d v="2024-01-11T13:27:24"/>
        <d v="2024-01-11T18:26:17"/>
        <d v="2024-01-12T09:15:06"/>
        <d v="2024-01-12T10:41:43"/>
        <d v="2024-01-12T10:56:05"/>
        <d v="2024-01-12T14:07:05"/>
        <d v="2024-01-13T11:13:25"/>
        <d v="2024-01-13T14:14:23"/>
        <d v="2024-01-13T22:52:43"/>
        <d v="2024-01-14T08:08:59"/>
        <d v="2024-01-14T20:03:14"/>
        <d v="2024-01-15T08:34:52"/>
        <d v="2024-01-15T11:32:07"/>
        <d v="2024-01-15T11:51:36"/>
        <d v="2024-01-15T13:03:58"/>
        <d v="2024-01-15T17:28:42"/>
        <d v="2024-01-15T18:31:47"/>
        <d v="2024-01-15T19:21:18"/>
        <d v="2024-01-15T19:24:39"/>
        <d v="2024-01-15T19:50:53"/>
        <d v="2024-01-16T11:05:46"/>
        <d v="2024-01-16T14:04:28"/>
        <d v="2024-01-16T15:47:53"/>
        <d v="2024-01-16T17:20:46"/>
        <d v="2024-01-16T18:27:03"/>
        <d v="2024-01-16T18:33:25"/>
        <d v="2024-01-16T18:54:40"/>
        <d v="2024-01-16T20:13:51"/>
        <d v="2024-01-16T21:28:26"/>
        <d v="2024-01-16T23:55:06"/>
        <d v="2024-01-17T14:49:19"/>
        <d v="2024-01-17T15:06:06"/>
        <d v="2024-01-17T21:27:09"/>
        <d v="2024-01-18T02:10:30"/>
        <d v="2024-01-18T09:27:10"/>
        <d v="2024-01-18T10:52:37"/>
        <d v="2024-01-18T13:30:15"/>
        <d v="2024-01-18T13:58:32"/>
        <d v="2024-01-19T13:15:55"/>
        <d v="2024-01-19T19:35:40"/>
        <d v="2024-01-21T20:51:24"/>
        <d v="2024-01-24T13:03:30"/>
      </sharedItems>
      <fieldGroup par="49"/>
    </cacheField>
    <cacheField name="Duration" numFmtId="0">
      <sharedItems containsSemiMixedTypes="0" containsString="0" containsNumber="1" containsInteger="1" minValue="184" maxValue="1661"/>
    </cacheField>
    <cacheField name="Q1_1" numFmtId="0">
      <sharedItems containsSemiMixedTypes="0" containsString="0" containsNumber="1" containsInteger="1" minValue="1" maxValue="4"/>
    </cacheField>
    <cacheField name="Q1_2" numFmtId="0">
      <sharedItems containsSemiMixedTypes="0" containsString="0" containsNumber="1" containsInteger="1" minValue="1" maxValue="4"/>
    </cacheField>
    <cacheField name="Q1_3" numFmtId="0">
      <sharedItems containsSemiMixedTypes="0" containsString="0" containsNumber="1" containsInteger="1" minValue="1" maxValue="4"/>
    </cacheField>
    <cacheField name="Q1_4" numFmtId="0">
      <sharedItems containsSemiMixedTypes="0" containsString="0" containsNumber="1" containsInteger="1" minValue="1" maxValue="4"/>
    </cacheField>
    <cacheField name="Q1_5" numFmtId="0">
      <sharedItems containsSemiMixedTypes="0" containsString="0" containsNumber="1" containsInteger="1" minValue="1" maxValue="4"/>
    </cacheField>
    <cacheField name="Q1_6" numFmtId="0">
      <sharedItems containsSemiMixedTypes="0" containsString="0" containsNumber="1" containsInteger="1" minValue="1" maxValue="4"/>
    </cacheField>
    <cacheField name="Q1_7" numFmtId="0">
      <sharedItems containsSemiMixedTypes="0" containsString="0" containsNumber="1" containsInteger="1" minValue="1" maxValue="3"/>
    </cacheField>
    <cacheField name="Q1_8" numFmtId="0">
      <sharedItems containsSemiMixedTypes="0" containsString="0" containsNumber="1" containsInteger="1" minValue="1" maxValue="3"/>
    </cacheField>
    <cacheField name="Q1_9" numFmtId="0">
      <sharedItems containsSemiMixedTypes="0" containsString="0" containsNumber="1" containsInteger="1" minValue="1" maxValue="4"/>
    </cacheField>
    <cacheField name="Q1_10" numFmtId="0">
      <sharedItems containsSemiMixedTypes="0" containsString="0" containsNumber="1" containsInteger="1" minValue="1" maxValue="4"/>
    </cacheField>
    <cacheField name="Q1_11" numFmtId="0">
      <sharedItems containsSemiMixedTypes="0" containsString="0" containsNumber="1" containsInteger="1" minValue="1" maxValue="4"/>
    </cacheField>
    <cacheField name="Q1_12" numFmtId="0">
      <sharedItems containsSemiMixedTypes="0" containsString="0" containsNumber="1" containsInteger="1" minValue="1" maxValue="4"/>
    </cacheField>
    <cacheField name="Q1_13" numFmtId="0">
      <sharedItems containsSemiMixedTypes="0" containsString="0" containsNumber="1" containsInteger="1" minValue="1" maxValue="4"/>
    </cacheField>
    <cacheField name="Q1_14" numFmtId="0">
      <sharedItems containsSemiMixedTypes="0" containsString="0" containsNumber="1" containsInteger="1" minValue="1" maxValue="3"/>
    </cacheField>
    <cacheField name="Q1_15" numFmtId="0">
      <sharedItems containsSemiMixedTypes="0" containsString="0" containsNumber="1" containsInteger="1" minValue="1" maxValue="3"/>
    </cacheField>
    <cacheField name="Q1_16" numFmtId="0">
      <sharedItems containsSemiMixedTypes="0" containsString="0" containsNumber="1" containsInteger="1" minValue="1" maxValue="3"/>
    </cacheField>
    <cacheField name="Q2_1" numFmtId="0">
      <sharedItems containsSemiMixedTypes="0" containsString="0" containsNumber="1" containsInteger="1" minValue="2" maxValue="4"/>
    </cacheField>
    <cacheField name="Q2_2" numFmtId="0">
      <sharedItems containsSemiMixedTypes="0" containsString="0" containsNumber="1" containsInteger="1" minValue="1" maxValue="4"/>
    </cacheField>
    <cacheField name="Q2_3" numFmtId="0">
      <sharedItems containsSemiMixedTypes="0" containsString="0" containsNumber="1" containsInteger="1" minValue="2" maxValue="4"/>
    </cacheField>
    <cacheField name="Q2_4" numFmtId="0">
      <sharedItems containsSemiMixedTypes="0" containsString="0" containsNumber="1" containsInteger="1" minValue="2" maxValue="4"/>
    </cacheField>
    <cacheField name="Q2_5" numFmtId="0">
      <sharedItems containsSemiMixedTypes="0" containsString="0" containsNumber="1" containsInteger="1" minValue="1" maxValue="4"/>
    </cacheField>
    <cacheField name="Q2_6" numFmtId="0">
      <sharedItems containsSemiMixedTypes="0" containsString="0" containsNumber="1" containsInteger="1" minValue="1" maxValue="4"/>
    </cacheField>
    <cacheField name="Q2_7" numFmtId="0">
      <sharedItems containsSemiMixedTypes="0" containsString="0" containsNumber="1" containsInteger="1" minValue="1" maxValue="4"/>
    </cacheField>
    <cacheField name="Q2_8" numFmtId="0">
      <sharedItems containsSemiMixedTypes="0" containsString="0" containsNumber="1" containsInteger="1" minValue="1" maxValue="4"/>
    </cacheField>
    <cacheField name="Q2_9" numFmtId="0">
      <sharedItems containsSemiMixedTypes="0" containsString="0" containsNumber="1" containsInteger="1" minValue="1" maxValue="4"/>
    </cacheField>
    <cacheField name="Q2_10" numFmtId="0">
      <sharedItems containsSemiMixedTypes="0" containsString="0" containsNumber="1" containsInteger="1" minValue="1" maxValue="4"/>
    </cacheField>
    <cacheField name="Q2_11" numFmtId="0">
      <sharedItems containsSemiMixedTypes="0" containsString="0" containsNumber="1" containsInteger="1" minValue="1" maxValue="4"/>
    </cacheField>
    <cacheField name="Q2_12" numFmtId="0">
      <sharedItems containsSemiMixedTypes="0" containsString="0" containsNumber="1" containsInteger="1" minValue="2" maxValue="4"/>
    </cacheField>
    <cacheField name="Q2_13" numFmtId="0">
      <sharedItems containsSemiMixedTypes="0" containsString="0" containsNumber="1" containsInteger="1" minValue="2" maxValue="4"/>
    </cacheField>
    <cacheField name="Q2_14" numFmtId="0">
      <sharedItems containsSemiMixedTypes="0" containsString="0" containsNumber="1" containsInteger="1" minValue="1" maxValue="4"/>
    </cacheField>
    <cacheField name="Q2_15" numFmtId="0">
      <sharedItems containsSemiMixedTypes="0" containsString="0" containsNumber="1" containsInteger="1" minValue="1" maxValue="4"/>
    </cacheField>
    <cacheField name="Q2_16" numFmtId="0">
      <sharedItems containsSemiMixedTypes="0" containsString="0" containsNumber="1" containsInteger="1" minValue="1" maxValue="4"/>
    </cacheField>
    <cacheField name="Q3" numFmtId="0">
      <sharedItems containsMixedTypes="1" containsNumber="1" containsInteger="1" minValue="3" maxValue="13"/>
    </cacheField>
    <cacheField name="Q4" numFmtId="0">
      <sharedItems containsSemiMixedTypes="0" containsString="0" containsNumber="1" containsInteger="1" minValue="10" maxValue="21"/>
    </cacheField>
    <cacheField name="Q4_1" numFmtId="0">
      <sharedItems containsSemiMixedTypes="0" containsString="0" containsNumber="1" minValue="0" maxValue="80"/>
    </cacheField>
    <cacheField name="Q4_2" numFmtId="0">
      <sharedItems containsSemiMixedTypes="0" containsString="0" containsNumber="1" minValue="0" maxValue="25"/>
    </cacheField>
    <cacheField name="Q4_3" numFmtId="0">
      <sharedItems containsSemiMixedTypes="0" containsString="0" containsNumber="1" minValue="0" maxValue="25"/>
    </cacheField>
    <cacheField name="Q4_4" numFmtId="0">
      <sharedItems containsSemiMixedTypes="0" containsString="0" containsNumber="1" minValue="0" maxValue="100"/>
    </cacheField>
    <cacheField name="Q4_5" numFmtId="0">
      <sharedItems containsSemiMixedTypes="0" containsString="0" containsNumber="1" minValue="0" maxValue="40"/>
    </cacheField>
    <cacheField name="Q4_6" numFmtId="0">
      <sharedItems containsSemiMixedTypes="0" containsString="0" containsNumber="1" minValue="0" maxValue="60"/>
    </cacheField>
    <cacheField name="Q4_7" numFmtId="0">
      <sharedItems containsSemiMixedTypes="0" containsString="0" containsNumber="1" minValue="0" maxValue="67"/>
    </cacheField>
    <cacheField name="Seconds (RecordedDate)" numFmtId="0" databaseField="0">
      <fieldGroup base="3">
        <rangePr groupBy="seconds" startDate="2024-01-11T08:35:22" endDate="2024-01-24T13:03:30"/>
        <groupItems count="62">
          <s v="&lt;1/11/20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24/2024"/>
        </groupItems>
      </fieldGroup>
    </cacheField>
    <cacheField name="Minutes (RecordedDate)" numFmtId="0" databaseField="0">
      <fieldGroup base="3">
        <rangePr groupBy="minutes" startDate="2024-01-11T08:35:22" endDate="2024-01-24T13:03:30"/>
        <groupItems count="62">
          <s v="&lt;1/11/20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24/2024"/>
        </groupItems>
      </fieldGroup>
    </cacheField>
    <cacheField name="Hours (RecordedDate)" numFmtId="0" databaseField="0">
      <fieldGroup base="3">
        <rangePr groupBy="hours" startDate="2024-01-11T08:35:22" endDate="2024-01-24T13:03:30"/>
        <groupItems count="26">
          <s v="&lt;1/11/2024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24/2024"/>
        </groupItems>
      </fieldGroup>
    </cacheField>
    <cacheField name="Days (RecordedDate)" numFmtId="0" databaseField="0">
      <fieldGroup base="3">
        <rangePr groupBy="days" startDate="2024-01-11T08:35:22" endDate="2024-01-24T13:03:30"/>
        <groupItems count="368">
          <s v="&lt;1/1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2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2024SP_01"/>
    <x v="0"/>
    <x v="0"/>
    <x v="0"/>
    <n v="360"/>
    <n v="2"/>
    <n v="2"/>
    <n v="1"/>
    <n v="2"/>
    <n v="1"/>
    <n v="2"/>
    <n v="1"/>
    <n v="1"/>
    <n v="2"/>
    <n v="2"/>
    <n v="2"/>
    <n v="3"/>
    <n v="2"/>
    <n v="1"/>
    <n v="1"/>
    <n v="1"/>
    <n v="4"/>
    <n v="4"/>
    <n v="4"/>
    <n v="4"/>
    <n v="4"/>
    <n v="4"/>
    <n v="4"/>
    <n v="4"/>
    <n v="4"/>
    <n v="4"/>
    <n v="4"/>
    <n v="4"/>
    <n v="4"/>
    <n v="4"/>
    <n v="4"/>
    <n v="4"/>
    <s v="3,15,17"/>
    <n v="12"/>
    <n v="40"/>
    <n v="10"/>
    <n v="0"/>
    <n v="0"/>
    <n v="0"/>
    <n v="10"/>
    <n v="40"/>
  </r>
  <r>
    <s v="2024SP_02"/>
    <x v="1"/>
    <x v="1"/>
    <x v="1"/>
    <n v="689"/>
    <n v="3"/>
    <n v="4"/>
    <n v="2"/>
    <n v="3"/>
    <n v="3"/>
    <n v="3"/>
    <n v="3"/>
    <n v="3"/>
    <n v="4"/>
    <n v="3"/>
    <n v="3"/>
    <n v="3"/>
    <n v="2"/>
    <n v="2"/>
    <n v="2"/>
    <n v="3"/>
    <n v="4"/>
    <n v="4"/>
    <n v="4"/>
    <n v="4"/>
    <n v="4"/>
    <n v="4"/>
    <n v="4"/>
    <n v="4"/>
    <n v="4"/>
    <n v="4"/>
    <n v="4"/>
    <n v="4"/>
    <n v="4"/>
    <n v="4"/>
    <n v="4"/>
    <n v="4"/>
    <s v="3,8,15,17,23"/>
    <n v="15"/>
    <n v="0"/>
    <n v="0"/>
    <n v="0"/>
    <n v="0"/>
    <n v="40"/>
    <n v="40"/>
    <n v="20"/>
  </r>
  <r>
    <s v="2024SP_03"/>
    <x v="1"/>
    <x v="2"/>
    <x v="2"/>
    <n v="603"/>
    <n v="2"/>
    <n v="3"/>
    <n v="3"/>
    <n v="3"/>
    <n v="3"/>
    <n v="3"/>
    <n v="2"/>
    <n v="2"/>
    <n v="3"/>
    <n v="2"/>
    <n v="3"/>
    <n v="2"/>
    <n v="2"/>
    <n v="2"/>
    <n v="1"/>
    <n v="2"/>
    <n v="4"/>
    <n v="4"/>
    <n v="4"/>
    <n v="4"/>
    <n v="4"/>
    <n v="4"/>
    <n v="3"/>
    <n v="3"/>
    <n v="4"/>
    <n v="4"/>
    <n v="4"/>
    <n v="4"/>
    <n v="4"/>
    <n v="4"/>
    <n v="3"/>
    <n v="4"/>
    <s v="3,9,10,13,15,17"/>
    <n v="15"/>
    <n v="25"/>
    <n v="10"/>
    <n v="10"/>
    <n v="10"/>
    <n v="10"/>
    <n v="10"/>
    <n v="25"/>
  </r>
  <r>
    <s v="2024SP_04"/>
    <x v="0"/>
    <x v="1"/>
    <x v="3"/>
    <n v="453"/>
    <n v="2"/>
    <n v="2"/>
    <n v="1"/>
    <n v="2"/>
    <n v="3"/>
    <n v="2"/>
    <n v="1"/>
    <n v="1"/>
    <n v="3"/>
    <n v="2"/>
    <n v="2"/>
    <n v="2"/>
    <n v="2"/>
    <n v="2"/>
    <n v="1"/>
    <n v="2"/>
    <n v="4"/>
    <n v="2"/>
    <n v="4"/>
    <n v="4"/>
    <n v="3"/>
    <n v="4"/>
    <n v="2"/>
    <n v="2"/>
    <n v="4"/>
    <n v="4"/>
    <n v="3"/>
    <n v="3"/>
    <n v="3"/>
    <n v="4"/>
    <n v="2"/>
    <n v="3"/>
    <s v="3,17"/>
    <n v="12"/>
    <n v="25"/>
    <n v="10"/>
    <n v="10"/>
    <n v="10"/>
    <n v="10"/>
    <n v="10"/>
    <n v="25"/>
  </r>
  <r>
    <s v="2024SP_05"/>
    <x v="1"/>
    <x v="2"/>
    <x v="4"/>
    <n v="983"/>
    <n v="3"/>
    <n v="4"/>
    <n v="3"/>
    <n v="3"/>
    <n v="4"/>
    <n v="3"/>
    <n v="3"/>
    <n v="3"/>
    <n v="3"/>
    <n v="3"/>
    <n v="2"/>
    <n v="3"/>
    <n v="2"/>
    <n v="3"/>
    <n v="2"/>
    <n v="3"/>
    <n v="4"/>
    <n v="4"/>
    <n v="4"/>
    <n v="4"/>
    <n v="4"/>
    <n v="4"/>
    <n v="4"/>
    <n v="4"/>
    <n v="4"/>
    <n v="4"/>
    <n v="4"/>
    <n v="4"/>
    <n v="4"/>
    <n v="4"/>
    <n v="4"/>
    <n v="4"/>
    <s v="3,9,13,32,33"/>
    <n v="21"/>
    <n v="15"/>
    <n v="14"/>
    <n v="14"/>
    <n v="14"/>
    <n v="14"/>
    <n v="14"/>
    <n v="15"/>
  </r>
  <r>
    <s v="2024SP_06"/>
    <x v="1"/>
    <x v="3"/>
    <x v="5"/>
    <n v="184"/>
    <n v="2"/>
    <n v="2"/>
    <n v="3"/>
    <n v="1"/>
    <n v="2"/>
    <n v="2"/>
    <n v="2"/>
    <n v="2"/>
    <n v="2"/>
    <n v="2"/>
    <n v="2"/>
    <n v="3"/>
    <n v="3"/>
    <n v="2"/>
    <n v="3"/>
    <n v="2"/>
    <n v="2"/>
    <n v="1"/>
    <n v="3"/>
    <n v="2"/>
    <n v="1"/>
    <n v="1"/>
    <n v="1"/>
    <n v="1"/>
    <n v="1"/>
    <n v="1"/>
    <n v="1"/>
    <n v="2"/>
    <n v="2"/>
    <n v="1"/>
    <n v="2"/>
    <n v="1"/>
    <s v="3,9,10,11,13"/>
    <n v="12"/>
    <n v="25"/>
    <n v="10"/>
    <n v="10"/>
    <n v="10"/>
    <n v="10"/>
    <n v="10"/>
    <n v="25"/>
  </r>
  <r>
    <s v="2024SP_07"/>
    <x v="0"/>
    <x v="0"/>
    <x v="6"/>
    <n v="277"/>
    <n v="2"/>
    <n v="2"/>
    <n v="2"/>
    <n v="1"/>
    <n v="2"/>
    <n v="2"/>
    <n v="1"/>
    <n v="2"/>
    <n v="2"/>
    <n v="2"/>
    <n v="3"/>
    <n v="3"/>
    <n v="3"/>
    <n v="2"/>
    <n v="1"/>
    <n v="1"/>
    <n v="3"/>
    <n v="3"/>
    <n v="3"/>
    <n v="3"/>
    <n v="3"/>
    <n v="3"/>
    <n v="3"/>
    <n v="3"/>
    <n v="3"/>
    <n v="3"/>
    <n v="3"/>
    <n v="3"/>
    <n v="3"/>
    <n v="3"/>
    <n v="3"/>
    <n v="3"/>
    <s v="10,11,17"/>
    <n v="15"/>
    <n v="80"/>
    <n v="10"/>
    <n v="0"/>
    <n v="10"/>
    <n v="0"/>
    <n v="0"/>
    <n v="0"/>
  </r>
  <r>
    <s v="2024SP_08"/>
    <x v="1"/>
    <x v="2"/>
    <x v="7"/>
    <n v="441"/>
    <n v="2"/>
    <n v="3"/>
    <n v="2"/>
    <n v="1"/>
    <n v="1"/>
    <n v="2"/>
    <n v="1"/>
    <n v="2"/>
    <n v="2"/>
    <n v="2"/>
    <n v="3"/>
    <n v="3"/>
    <n v="2"/>
    <n v="1"/>
    <n v="1"/>
    <n v="2"/>
    <n v="3"/>
    <n v="4"/>
    <n v="3"/>
    <n v="3"/>
    <n v="3"/>
    <n v="3"/>
    <n v="3"/>
    <n v="4"/>
    <n v="3"/>
    <n v="4"/>
    <n v="4"/>
    <n v="4"/>
    <n v="3"/>
    <n v="3"/>
    <n v="3"/>
    <n v="3"/>
    <s v="3,9,13"/>
    <n v="12"/>
    <n v="25"/>
    <n v="10"/>
    <n v="10"/>
    <n v="10"/>
    <n v="10"/>
    <n v="10"/>
    <n v="25"/>
  </r>
  <r>
    <s v="2024SP_09"/>
    <x v="0"/>
    <x v="1"/>
    <x v="8"/>
    <n v="425"/>
    <n v="2"/>
    <n v="2"/>
    <n v="1"/>
    <n v="2"/>
    <n v="2"/>
    <n v="1"/>
    <n v="1"/>
    <n v="1"/>
    <n v="2"/>
    <n v="1"/>
    <n v="2"/>
    <n v="2"/>
    <n v="2"/>
    <n v="2"/>
    <n v="2"/>
    <n v="2"/>
    <n v="4"/>
    <n v="4"/>
    <n v="3"/>
    <n v="3"/>
    <n v="4"/>
    <n v="3"/>
    <n v="3"/>
    <n v="3"/>
    <n v="3"/>
    <n v="3"/>
    <n v="4"/>
    <n v="4"/>
    <n v="3"/>
    <n v="3"/>
    <n v="3"/>
    <n v="3"/>
    <s v="2,3"/>
    <n v="12"/>
    <n v="25"/>
    <n v="10"/>
    <n v="15"/>
    <n v="10"/>
    <n v="15"/>
    <n v="0"/>
    <n v="25"/>
  </r>
  <r>
    <s v="2024SP_10"/>
    <x v="1"/>
    <x v="2"/>
    <x v="9"/>
    <n v="550"/>
    <n v="3"/>
    <n v="2"/>
    <n v="3"/>
    <n v="2"/>
    <n v="3"/>
    <n v="3"/>
    <n v="2"/>
    <n v="3"/>
    <n v="3"/>
    <n v="3"/>
    <n v="3"/>
    <n v="3"/>
    <n v="3"/>
    <n v="3"/>
    <n v="3"/>
    <n v="3"/>
    <n v="4"/>
    <n v="3"/>
    <n v="4"/>
    <n v="2"/>
    <n v="3"/>
    <n v="3"/>
    <n v="2"/>
    <n v="3"/>
    <n v="3"/>
    <n v="4"/>
    <n v="4"/>
    <n v="4"/>
    <n v="4"/>
    <n v="3"/>
    <n v="3"/>
    <n v="3"/>
    <s v="3,4,9,13,17"/>
    <n v="12"/>
    <n v="15"/>
    <n v="10"/>
    <n v="10"/>
    <n v="10"/>
    <n v="5"/>
    <n v="25"/>
    <n v="25"/>
  </r>
  <r>
    <s v="2024SP_11"/>
    <x v="1"/>
    <x v="2"/>
    <x v="10"/>
    <n v="338"/>
    <n v="3"/>
    <n v="4"/>
    <n v="2"/>
    <n v="3"/>
    <n v="2"/>
    <n v="2"/>
    <n v="1"/>
    <n v="1"/>
    <n v="2"/>
    <n v="2"/>
    <n v="2"/>
    <n v="3"/>
    <n v="3"/>
    <n v="2"/>
    <n v="2"/>
    <n v="3"/>
    <n v="4"/>
    <n v="4"/>
    <n v="3"/>
    <n v="4"/>
    <n v="4"/>
    <n v="3"/>
    <n v="3"/>
    <n v="3"/>
    <n v="3"/>
    <n v="3"/>
    <n v="4"/>
    <n v="4"/>
    <n v="4"/>
    <n v="4"/>
    <n v="4"/>
    <n v="4"/>
    <s v="3,8,13,14,17"/>
    <n v="10"/>
    <n v="0"/>
    <n v="20"/>
    <n v="20"/>
    <n v="20"/>
    <n v="20"/>
    <n v="20"/>
    <n v="0"/>
  </r>
  <r>
    <s v="2024SP_12"/>
    <x v="0"/>
    <x v="1"/>
    <x v="11"/>
    <n v="221"/>
    <n v="1"/>
    <n v="2"/>
    <n v="1"/>
    <n v="2"/>
    <n v="2"/>
    <n v="1"/>
    <n v="2"/>
    <n v="1"/>
    <n v="2"/>
    <n v="1"/>
    <n v="1"/>
    <n v="1"/>
    <n v="1"/>
    <n v="1"/>
    <n v="1"/>
    <n v="2"/>
    <n v="3"/>
    <n v="3"/>
    <n v="3"/>
    <n v="3"/>
    <n v="3"/>
    <n v="3"/>
    <n v="3"/>
    <n v="3"/>
    <n v="3"/>
    <n v="3"/>
    <n v="3"/>
    <n v="3"/>
    <n v="3"/>
    <n v="3"/>
    <n v="3"/>
    <n v="3"/>
    <s v="3,8"/>
    <n v="12"/>
    <n v="25"/>
    <n v="0"/>
    <n v="0"/>
    <n v="25"/>
    <n v="0"/>
    <n v="25"/>
    <n v="25"/>
  </r>
  <r>
    <s v="2024SP_13"/>
    <x v="0"/>
    <x v="4"/>
    <x v="12"/>
    <n v="1257"/>
    <n v="2"/>
    <n v="3"/>
    <n v="1"/>
    <n v="3"/>
    <n v="3"/>
    <n v="3"/>
    <n v="1"/>
    <n v="1"/>
    <n v="3"/>
    <n v="2"/>
    <n v="2"/>
    <n v="3"/>
    <n v="3"/>
    <n v="2"/>
    <n v="1"/>
    <n v="1"/>
    <n v="4"/>
    <n v="4"/>
    <n v="4"/>
    <n v="4"/>
    <n v="4"/>
    <n v="4"/>
    <n v="4"/>
    <n v="4"/>
    <n v="4"/>
    <n v="4"/>
    <n v="4"/>
    <n v="4"/>
    <n v="4"/>
    <n v="4"/>
    <n v="4"/>
    <n v="4"/>
    <s v="3,17"/>
    <n v="12"/>
    <n v="17"/>
    <n v="12"/>
    <n v="12"/>
    <n v="12"/>
    <n v="12"/>
    <n v="15"/>
    <n v="20"/>
  </r>
  <r>
    <s v="2024SP_14"/>
    <x v="0"/>
    <x v="1"/>
    <x v="13"/>
    <n v="323"/>
    <n v="3"/>
    <n v="4"/>
    <n v="4"/>
    <n v="2"/>
    <n v="3"/>
    <n v="3"/>
    <n v="2"/>
    <n v="1"/>
    <n v="3"/>
    <n v="4"/>
    <n v="4"/>
    <n v="4"/>
    <n v="4"/>
    <n v="3"/>
    <n v="1"/>
    <n v="3"/>
    <n v="2"/>
    <n v="1"/>
    <n v="2"/>
    <n v="3"/>
    <n v="2"/>
    <n v="2"/>
    <n v="3"/>
    <n v="3"/>
    <n v="2"/>
    <n v="2"/>
    <n v="2"/>
    <n v="2"/>
    <n v="2"/>
    <n v="2"/>
    <n v="2"/>
    <n v="2"/>
    <s v="3,10,13,14,17,21"/>
    <n v="12"/>
    <n v="20"/>
    <n v="0"/>
    <n v="0"/>
    <n v="0"/>
    <n v="0"/>
    <n v="60"/>
    <n v="20"/>
  </r>
  <r>
    <s v="2024SP_15"/>
    <x v="1"/>
    <x v="5"/>
    <x v="14"/>
    <n v="374"/>
    <n v="3"/>
    <n v="4"/>
    <n v="3"/>
    <n v="4"/>
    <n v="4"/>
    <n v="4"/>
    <n v="3"/>
    <n v="3"/>
    <n v="4"/>
    <n v="3"/>
    <n v="3"/>
    <n v="4"/>
    <n v="4"/>
    <n v="3"/>
    <n v="3"/>
    <n v="3"/>
    <n v="4"/>
    <n v="4"/>
    <n v="3"/>
    <n v="3"/>
    <n v="3"/>
    <n v="3"/>
    <n v="3"/>
    <n v="3"/>
    <n v="4"/>
    <n v="4"/>
    <n v="4"/>
    <n v="4"/>
    <n v="4"/>
    <n v="4"/>
    <n v="3"/>
    <n v="3"/>
    <s v="3,9,10,12,13,17,23,27"/>
    <n v="12"/>
    <n v="35"/>
    <n v="10"/>
    <n v="10"/>
    <n v="10"/>
    <n v="10"/>
    <n v="0"/>
    <n v="25"/>
  </r>
  <r>
    <s v="2024SP_16"/>
    <x v="0"/>
    <x v="0"/>
    <x v="15"/>
    <n v="1489"/>
    <n v="2"/>
    <n v="3"/>
    <n v="1"/>
    <n v="2"/>
    <n v="2"/>
    <n v="2"/>
    <n v="2"/>
    <n v="2"/>
    <n v="2"/>
    <n v="2"/>
    <n v="2"/>
    <n v="2"/>
    <n v="2"/>
    <n v="2"/>
    <n v="1"/>
    <n v="3"/>
    <n v="3"/>
    <n v="4"/>
    <n v="3"/>
    <n v="3"/>
    <n v="3"/>
    <n v="3"/>
    <n v="3"/>
    <n v="3"/>
    <n v="3"/>
    <n v="4"/>
    <n v="3"/>
    <n v="4"/>
    <n v="4"/>
    <n v="3"/>
    <n v="2"/>
    <n v="3"/>
    <s v="3,13,34,35"/>
    <n v="12"/>
    <n v="20"/>
    <n v="10"/>
    <n v="15"/>
    <n v="0"/>
    <n v="15"/>
    <n v="10"/>
    <n v="30"/>
  </r>
  <r>
    <s v="2024SP_17"/>
    <x v="0"/>
    <x v="6"/>
    <x v="16"/>
    <n v="819"/>
    <n v="3"/>
    <n v="3"/>
    <n v="2"/>
    <n v="2"/>
    <n v="2"/>
    <n v="2"/>
    <n v="2"/>
    <n v="2"/>
    <n v="2"/>
    <n v="1"/>
    <n v="1"/>
    <n v="2"/>
    <n v="2"/>
    <n v="2"/>
    <n v="1"/>
    <n v="2"/>
    <n v="4"/>
    <n v="2"/>
    <n v="4"/>
    <n v="2"/>
    <n v="2"/>
    <n v="3"/>
    <n v="2"/>
    <n v="3"/>
    <n v="3"/>
    <n v="4"/>
    <n v="4"/>
    <n v="4"/>
    <n v="4"/>
    <n v="4"/>
    <n v="2"/>
    <n v="4"/>
    <s v="3,8,13,15,17,23"/>
    <n v="13"/>
    <n v="23.1"/>
    <n v="7.7"/>
    <n v="7.7"/>
    <n v="7.6"/>
    <n v="7.7"/>
    <n v="23.1"/>
    <n v="23.1"/>
  </r>
  <r>
    <s v="2024SP_18"/>
    <x v="1"/>
    <x v="3"/>
    <x v="17"/>
    <n v="567"/>
    <n v="1"/>
    <n v="3"/>
    <n v="2"/>
    <n v="1"/>
    <n v="1"/>
    <n v="2"/>
    <n v="1"/>
    <n v="1"/>
    <n v="1"/>
    <n v="2"/>
    <n v="2"/>
    <n v="2"/>
    <n v="2"/>
    <n v="1"/>
    <n v="1"/>
    <n v="1"/>
    <n v="3"/>
    <n v="4"/>
    <n v="3"/>
    <n v="3"/>
    <n v="3"/>
    <n v="3"/>
    <n v="3"/>
    <n v="3"/>
    <n v="3"/>
    <n v="3"/>
    <n v="3"/>
    <n v="3"/>
    <n v="3"/>
    <n v="3"/>
    <n v="3"/>
    <n v="3"/>
    <s v="3,9,13,17"/>
    <n v="12"/>
    <n v="25"/>
    <n v="10"/>
    <n v="10"/>
    <n v="10"/>
    <n v="10"/>
    <n v="10"/>
    <n v="25"/>
  </r>
  <r>
    <s v="2024SP_19"/>
    <x v="0"/>
    <x v="1"/>
    <x v="18"/>
    <n v="304"/>
    <n v="2"/>
    <n v="2"/>
    <n v="2"/>
    <n v="2"/>
    <n v="2"/>
    <n v="2"/>
    <n v="2"/>
    <n v="1"/>
    <n v="2"/>
    <n v="2"/>
    <n v="2"/>
    <n v="2"/>
    <n v="2"/>
    <n v="2"/>
    <n v="2"/>
    <n v="3"/>
    <n v="4"/>
    <n v="4"/>
    <n v="4"/>
    <n v="4"/>
    <n v="4"/>
    <n v="4"/>
    <n v="4"/>
    <n v="4"/>
    <n v="3"/>
    <n v="4"/>
    <n v="4"/>
    <n v="4"/>
    <n v="3"/>
    <n v="4"/>
    <n v="4"/>
    <n v="4"/>
    <s v="2,3"/>
    <n v="12"/>
    <n v="20"/>
    <n v="15"/>
    <n v="10"/>
    <n v="15"/>
    <n v="20"/>
    <n v="0"/>
    <n v="20"/>
  </r>
  <r>
    <s v="2024SP_20"/>
    <x v="1"/>
    <x v="2"/>
    <x v="19"/>
    <n v="1151"/>
    <n v="3"/>
    <n v="3"/>
    <n v="3"/>
    <n v="3"/>
    <n v="3"/>
    <n v="3"/>
    <n v="3"/>
    <n v="3"/>
    <n v="3"/>
    <n v="2"/>
    <n v="3"/>
    <n v="3"/>
    <n v="2"/>
    <n v="3"/>
    <n v="2"/>
    <n v="3"/>
    <n v="3"/>
    <n v="3"/>
    <n v="3"/>
    <n v="3"/>
    <n v="3"/>
    <n v="3"/>
    <n v="3"/>
    <n v="3"/>
    <n v="3"/>
    <n v="4"/>
    <n v="3"/>
    <n v="3"/>
    <n v="4"/>
    <n v="3"/>
    <n v="4"/>
    <n v="3"/>
    <s v="3,9,10,11,13"/>
    <n v="14"/>
    <n v="0"/>
    <n v="25"/>
    <n v="25"/>
    <n v="25"/>
    <n v="25"/>
    <n v="0"/>
    <n v="0"/>
  </r>
  <r>
    <s v="2024SP_21"/>
    <x v="0"/>
    <x v="1"/>
    <x v="20"/>
    <n v="393"/>
    <n v="2"/>
    <n v="3"/>
    <n v="3"/>
    <n v="2"/>
    <n v="2"/>
    <n v="4"/>
    <n v="2"/>
    <n v="2"/>
    <n v="3"/>
    <n v="3"/>
    <n v="2"/>
    <n v="3"/>
    <n v="3"/>
    <n v="2"/>
    <n v="2"/>
    <n v="2"/>
    <n v="3"/>
    <n v="4"/>
    <n v="4"/>
    <n v="3"/>
    <n v="2"/>
    <n v="3"/>
    <n v="2"/>
    <n v="3"/>
    <n v="4"/>
    <n v="4"/>
    <n v="3"/>
    <n v="4"/>
    <n v="2"/>
    <n v="3"/>
    <n v="4"/>
    <n v="4"/>
    <s v="3,9,13,17"/>
    <n v="12"/>
    <n v="0"/>
    <n v="0"/>
    <n v="25"/>
    <n v="25"/>
    <n v="25"/>
    <n v="25"/>
    <n v="0"/>
  </r>
  <r>
    <s v="2024SP_22"/>
    <x v="0"/>
    <x v="1"/>
    <x v="21"/>
    <n v="1661"/>
    <n v="2"/>
    <n v="3"/>
    <n v="3"/>
    <n v="2"/>
    <n v="2"/>
    <n v="2"/>
    <n v="3"/>
    <n v="3"/>
    <n v="3"/>
    <n v="2"/>
    <n v="2"/>
    <n v="2"/>
    <n v="2"/>
    <n v="3"/>
    <n v="2"/>
    <n v="3"/>
    <n v="3"/>
    <n v="4"/>
    <n v="4"/>
    <n v="3"/>
    <n v="4"/>
    <n v="4"/>
    <n v="4"/>
    <n v="3"/>
    <n v="4"/>
    <n v="3"/>
    <n v="3"/>
    <n v="3"/>
    <n v="3"/>
    <n v="4"/>
    <n v="3"/>
    <n v="4"/>
    <s v="3,9,10,11,15,17,22,23"/>
    <n v="12"/>
    <n v="25"/>
    <n v="12"/>
    <n v="12"/>
    <n v="12"/>
    <n v="12"/>
    <n v="12"/>
    <n v="15"/>
  </r>
  <r>
    <s v="2024SP_23"/>
    <x v="1"/>
    <x v="2"/>
    <x v="22"/>
    <n v="499"/>
    <n v="1"/>
    <n v="2"/>
    <n v="2"/>
    <n v="2"/>
    <n v="1"/>
    <n v="2"/>
    <n v="1"/>
    <n v="1"/>
    <n v="2"/>
    <n v="1"/>
    <n v="1"/>
    <n v="2"/>
    <n v="1"/>
    <n v="1"/>
    <n v="1"/>
    <n v="1"/>
    <n v="3"/>
    <n v="3"/>
    <n v="3"/>
    <n v="3"/>
    <n v="3"/>
    <n v="3"/>
    <n v="3"/>
    <n v="3"/>
    <n v="3"/>
    <n v="3"/>
    <n v="3"/>
    <n v="3"/>
    <n v="3"/>
    <n v="3"/>
    <n v="3"/>
    <n v="3"/>
    <s v="3,13"/>
    <n v="12"/>
    <n v="0"/>
    <n v="20"/>
    <n v="20"/>
    <n v="20"/>
    <n v="20"/>
    <n v="20"/>
    <n v="0"/>
  </r>
  <r>
    <s v="2024SP_24"/>
    <x v="1"/>
    <x v="0"/>
    <x v="23"/>
    <n v="328"/>
    <n v="2"/>
    <n v="2"/>
    <n v="2"/>
    <n v="1"/>
    <n v="2"/>
    <n v="2"/>
    <n v="1"/>
    <n v="2"/>
    <n v="2"/>
    <n v="2"/>
    <n v="2"/>
    <n v="2"/>
    <n v="1"/>
    <n v="2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13"/>
    <n v="12"/>
    <n v="41"/>
    <n v="0"/>
    <n v="0"/>
    <n v="9"/>
    <n v="0"/>
    <n v="9"/>
    <n v="41"/>
  </r>
  <r>
    <s v="2024SP_25"/>
    <x v="0"/>
    <x v="6"/>
    <x v="24"/>
    <n v="334"/>
    <n v="1"/>
    <n v="3"/>
    <n v="1"/>
    <n v="1"/>
    <n v="1"/>
    <n v="1"/>
    <n v="1"/>
    <n v="1"/>
    <n v="1"/>
    <n v="2"/>
    <n v="3"/>
    <n v="3"/>
    <n v="2"/>
    <n v="1"/>
    <n v="1"/>
    <n v="1"/>
    <n v="3"/>
    <n v="4"/>
    <n v="4"/>
    <n v="2"/>
    <n v="2"/>
    <n v="2"/>
    <n v="2"/>
    <n v="2"/>
    <n v="3"/>
    <n v="4"/>
    <n v="3"/>
    <n v="4"/>
    <n v="4"/>
    <n v="3"/>
    <n v="3"/>
    <n v="3"/>
    <s v="2,3,14,23,24"/>
    <n v="15"/>
    <n v="25"/>
    <n v="10"/>
    <n v="10"/>
    <n v="10"/>
    <n v="10"/>
    <n v="10"/>
    <n v="25"/>
  </r>
  <r>
    <s v="2024SP_26"/>
    <x v="0"/>
    <x v="1"/>
    <x v="25"/>
    <n v="283"/>
    <n v="1"/>
    <n v="2"/>
    <n v="1"/>
    <n v="1"/>
    <n v="1"/>
    <n v="2"/>
    <n v="2"/>
    <n v="1"/>
    <n v="2"/>
    <n v="1"/>
    <n v="2"/>
    <n v="2"/>
    <n v="2"/>
    <n v="1"/>
    <n v="1"/>
    <n v="2"/>
    <n v="3"/>
    <n v="4"/>
    <n v="3"/>
    <n v="3"/>
    <n v="3"/>
    <n v="3"/>
    <n v="3"/>
    <n v="3"/>
    <n v="3"/>
    <n v="3"/>
    <n v="3"/>
    <n v="4"/>
    <n v="4"/>
    <n v="3"/>
    <n v="3"/>
    <n v="3"/>
    <s v="3,5,8,12"/>
    <n v="12"/>
    <n v="35"/>
    <n v="15"/>
    <n v="0"/>
    <n v="0"/>
    <n v="0"/>
    <n v="15"/>
    <n v="35"/>
  </r>
  <r>
    <s v="2024SP_27"/>
    <x v="1"/>
    <x v="2"/>
    <x v="26"/>
    <n v="304"/>
    <n v="2"/>
    <n v="4"/>
    <n v="3"/>
    <n v="3"/>
    <n v="3"/>
    <n v="3"/>
    <n v="3"/>
    <n v="2"/>
    <n v="4"/>
    <n v="3"/>
    <n v="3"/>
    <n v="3"/>
    <n v="3"/>
    <n v="2"/>
    <n v="1"/>
    <n v="2"/>
    <n v="3"/>
    <n v="2"/>
    <n v="4"/>
    <n v="3"/>
    <n v="3"/>
    <n v="3"/>
    <n v="3"/>
    <n v="4"/>
    <n v="2"/>
    <n v="4"/>
    <n v="4"/>
    <n v="4"/>
    <n v="4"/>
    <n v="3"/>
    <n v="2"/>
    <n v="3"/>
    <s v="3,9,13,14,15,17"/>
    <n v="12"/>
    <n v="0"/>
    <n v="10"/>
    <n v="10"/>
    <n v="10"/>
    <n v="10"/>
    <n v="30"/>
    <n v="30"/>
  </r>
  <r>
    <s v="2024SP_28"/>
    <x v="1"/>
    <x v="3"/>
    <x v="27"/>
    <n v="1045"/>
    <n v="2"/>
    <n v="3"/>
    <n v="2"/>
    <n v="3"/>
    <n v="2"/>
    <n v="3"/>
    <n v="2"/>
    <n v="3"/>
    <n v="2"/>
    <n v="2"/>
    <n v="2"/>
    <n v="3"/>
    <n v="3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s v="3,4,8,9,12,13,17"/>
    <n v="12"/>
    <n v="25"/>
    <n v="13"/>
    <n v="13"/>
    <n v="12"/>
    <n v="12"/>
    <n v="0"/>
    <n v="25"/>
  </r>
  <r>
    <s v="2024SP_29"/>
    <x v="1"/>
    <x v="1"/>
    <x v="28"/>
    <n v="239"/>
    <n v="4"/>
    <n v="4"/>
    <n v="3"/>
    <n v="2"/>
    <n v="3"/>
    <n v="3"/>
    <n v="2"/>
    <n v="2"/>
    <n v="3"/>
    <n v="4"/>
    <n v="4"/>
    <n v="4"/>
    <n v="4"/>
    <n v="3"/>
    <n v="2"/>
    <n v="3"/>
    <n v="4"/>
    <n v="4"/>
    <n v="3"/>
    <n v="3"/>
    <n v="3"/>
    <n v="4"/>
    <n v="3"/>
    <n v="3"/>
    <n v="4"/>
    <n v="4"/>
    <n v="4"/>
    <n v="4"/>
    <n v="4"/>
    <n v="4"/>
    <n v="3"/>
    <n v="4"/>
    <s v="3,8,9,10,12,13,17,23,24"/>
    <n v="12"/>
    <n v="25"/>
    <n v="10"/>
    <n v="10"/>
    <n v="10"/>
    <n v="10"/>
    <n v="10"/>
    <n v="25"/>
  </r>
  <r>
    <s v="2024SP_30"/>
    <x v="1"/>
    <x v="2"/>
    <x v="29"/>
    <n v="264"/>
    <n v="2"/>
    <n v="2"/>
    <n v="2"/>
    <n v="1"/>
    <n v="2"/>
    <n v="2"/>
    <n v="2"/>
    <n v="1"/>
    <n v="2"/>
    <n v="2"/>
    <n v="2"/>
    <n v="2"/>
    <n v="1"/>
    <n v="2"/>
    <n v="1"/>
    <n v="1"/>
    <n v="3"/>
    <n v="3"/>
    <n v="4"/>
    <n v="3"/>
    <n v="3"/>
    <n v="3"/>
    <n v="2"/>
    <n v="2"/>
    <n v="2"/>
    <n v="3"/>
    <n v="3"/>
    <n v="4"/>
    <n v="4"/>
    <n v="2"/>
    <n v="2"/>
    <n v="2"/>
    <s v="3,9,13"/>
    <n v="12"/>
    <n v="25"/>
    <n v="10"/>
    <n v="10"/>
    <n v="10"/>
    <n v="10"/>
    <n v="10"/>
    <n v="25"/>
  </r>
  <r>
    <s v="2024SP_31"/>
    <x v="0"/>
    <x v="0"/>
    <x v="30"/>
    <n v="614"/>
    <n v="2"/>
    <n v="3"/>
    <n v="2"/>
    <n v="2"/>
    <n v="1"/>
    <n v="2"/>
    <n v="2"/>
    <n v="2"/>
    <n v="2"/>
    <n v="3"/>
    <n v="1"/>
    <n v="3"/>
    <n v="1"/>
    <n v="2"/>
    <n v="3"/>
    <n v="2"/>
    <n v="4"/>
    <n v="3"/>
    <n v="4"/>
    <n v="4"/>
    <n v="2"/>
    <n v="2"/>
    <n v="2"/>
    <n v="2"/>
    <n v="4"/>
    <n v="4"/>
    <n v="2"/>
    <n v="4"/>
    <n v="4"/>
    <n v="3"/>
    <n v="4"/>
    <n v="2"/>
    <s v="3,18"/>
    <n v="12"/>
    <n v="25"/>
    <n v="20"/>
    <n v="0"/>
    <n v="0"/>
    <n v="0"/>
    <n v="30"/>
    <n v="25"/>
  </r>
  <r>
    <s v="2024SP_32"/>
    <x v="1"/>
    <x v="0"/>
    <x v="31"/>
    <n v="1214"/>
    <n v="2"/>
    <n v="3"/>
    <n v="2"/>
    <n v="1"/>
    <n v="1"/>
    <n v="1"/>
    <n v="1"/>
    <n v="1"/>
    <n v="1"/>
    <n v="1"/>
    <n v="2"/>
    <n v="2"/>
    <n v="1"/>
    <n v="1"/>
    <n v="1"/>
    <n v="1"/>
    <n v="3"/>
    <n v="4"/>
    <n v="3"/>
    <n v="2"/>
    <n v="2"/>
    <n v="2"/>
    <n v="2"/>
    <n v="2"/>
    <n v="2"/>
    <n v="2"/>
    <n v="3"/>
    <n v="3"/>
    <n v="2"/>
    <n v="2"/>
    <n v="2"/>
    <n v="2"/>
    <s v="3,10,13,17"/>
    <n v="10"/>
    <n v="25"/>
    <n v="15"/>
    <n v="10"/>
    <n v="10"/>
    <n v="10"/>
    <n v="10"/>
    <n v="20"/>
  </r>
  <r>
    <s v="2024SP_33"/>
    <x v="1"/>
    <x v="6"/>
    <x v="32"/>
    <n v="1342"/>
    <n v="2"/>
    <n v="2"/>
    <n v="3"/>
    <n v="2"/>
    <n v="2"/>
    <n v="2"/>
    <n v="2"/>
    <n v="2"/>
    <n v="2"/>
    <n v="3"/>
    <n v="3"/>
    <n v="3"/>
    <n v="3"/>
    <n v="2"/>
    <n v="3"/>
    <n v="2"/>
    <n v="3"/>
    <n v="3"/>
    <n v="3"/>
    <n v="3"/>
    <n v="3"/>
    <n v="3"/>
    <n v="3"/>
    <n v="3"/>
    <n v="3"/>
    <n v="3"/>
    <n v="3"/>
    <n v="3"/>
    <n v="3"/>
    <n v="3"/>
    <n v="3"/>
    <n v="3"/>
    <s v="3,8"/>
    <n v="12"/>
    <n v="15"/>
    <n v="15"/>
    <n v="15"/>
    <n v="15"/>
    <n v="15"/>
    <n v="15"/>
    <n v="10"/>
  </r>
  <r>
    <s v="2024SP_34"/>
    <x v="1"/>
    <x v="0"/>
    <x v="33"/>
    <n v="430"/>
    <n v="1"/>
    <n v="2"/>
    <n v="1"/>
    <n v="1"/>
    <n v="1"/>
    <n v="3"/>
    <n v="1"/>
    <n v="1"/>
    <n v="2"/>
    <n v="1"/>
    <n v="2"/>
    <n v="2"/>
    <n v="1"/>
    <n v="1"/>
    <n v="1"/>
    <n v="1"/>
    <n v="4"/>
    <n v="4"/>
    <n v="3"/>
    <n v="2"/>
    <n v="2"/>
    <n v="3"/>
    <n v="2"/>
    <n v="4"/>
    <n v="3"/>
    <n v="4"/>
    <n v="3"/>
    <n v="4"/>
    <n v="3"/>
    <n v="3"/>
    <n v="2"/>
    <n v="2"/>
    <s v="3,24"/>
    <n v="12"/>
    <n v="25"/>
    <n v="0"/>
    <n v="0"/>
    <n v="25"/>
    <n v="0"/>
    <n v="20"/>
    <n v="30"/>
  </r>
  <r>
    <s v="2024SP_35"/>
    <x v="1"/>
    <x v="0"/>
    <x v="34"/>
    <n v="31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4"/>
    <s v="3,12,17"/>
    <n v="12"/>
    <n v="25"/>
    <n v="10"/>
    <n v="10"/>
    <n v="10"/>
    <n v="10"/>
    <n v="10"/>
    <n v="25"/>
  </r>
  <r>
    <s v="2024SP_36"/>
    <x v="0"/>
    <x v="5"/>
    <x v="35"/>
    <n v="540"/>
    <n v="1"/>
    <n v="1"/>
    <n v="1"/>
    <n v="3"/>
    <n v="3"/>
    <n v="3"/>
    <n v="3"/>
    <n v="3"/>
    <n v="1"/>
    <n v="1"/>
    <n v="1"/>
    <n v="1"/>
    <n v="1"/>
    <n v="1"/>
    <n v="1"/>
    <n v="1"/>
    <n v="3"/>
    <n v="3"/>
    <n v="3"/>
    <n v="3"/>
    <n v="3"/>
    <n v="3"/>
    <n v="3"/>
    <n v="3"/>
    <n v="3"/>
    <n v="3"/>
    <n v="3"/>
    <n v="3"/>
    <n v="3"/>
    <n v="3"/>
    <n v="3"/>
    <n v="3"/>
    <n v="3"/>
    <n v="16"/>
    <n v="25"/>
    <n v="25"/>
    <n v="25"/>
    <n v="25"/>
    <n v="0"/>
    <n v="0"/>
    <n v="0"/>
  </r>
  <r>
    <s v="2024SP_37"/>
    <x v="1"/>
    <x v="2"/>
    <x v="36"/>
    <n v="253"/>
    <n v="2"/>
    <n v="4"/>
    <n v="3"/>
    <n v="3"/>
    <n v="3"/>
    <n v="3"/>
    <n v="3"/>
    <n v="3"/>
    <n v="4"/>
    <n v="3"/>
    <n v="3"/>
    <n v="3"/>
    <n v="3"/>
    <n v="3"/>
    <n v="2"/>
    <n v="3"/>
    <n v="4"/>
    <n v="4"/>
    <n v="4"/>
    <n v="4"/>
    <n v="4"/>
    <n v="4"/>
    <n v="4"/>
    <n v="4"/>
    <n v="4"/>
    <n v="4"/>
    <n v="4"/>
    <n v="4"/>
    <n v="4"/>
    <n v="4"/>
    <n v="3"/>
    <n v="4"/>
    <s v="3,4,5,9,10,11,13,17,23"/>
    <n v="12"/>
    <n v="40"/>
    <n v="0"/>
    <n v="0"/>
    <n v="20"/>
    <n v="0"/>
    <n v="0"/>
    <n v="40"/>
  </r>
  <r>
    <s v="2024SP_38"/>
    <x v="1"/>
    <x v="0"/>
    <x v="37"/>
    <n v="307"/>
    <n v="2"/>
    <n v="4"/>
    <n v="2"/>
    <n v="3"/>
    <n v="2"/>
    <n v="3"/>
    <n v="2"/>
    <n v="2"/>
    <n v="3"/>
    <n v="3"/>
    <n v="3"/>
    <n v="3"/>
    <n v="3"/>
    <n v="3"/>
    <n v="2"/>
    <n v="3"/>
    <n v="3"/>
    <n v="2"/>
    <n v="3"/>
    <n v="3"/>
    <n v="3"/>
    <n v="2"/>
    <n v="4"/>
    <n v="4"/>
    <n v="3"/>
    <n v="3"/>
    <n v="2"/>
    <n v="2"/>
    <n v="4"/>
    <n v="4"/>
    <n v="2"/>
    <n v="3"/>
    <s v="3,12,13,17,23"/>
    <n v="12"/>
    <n v="25"/>
    <n v="10"/>
    <n v="10"/>
    <n v="10"/>
    <n v="10"/>
    <n v="10"/>
    <n v="25"/>
  </r>
  <r>
    <s v="2024SP_39"/>
    <x v="1"/>
    <x v="3"/>
    <x v="38"/>
    <n v="638"/>
    <n v="2"/>
    <n v="2"/>
    <n v="3"/>
    <n v="2"/>
    <n v="2"/>
    <n v="2"/>
    <n v="2"/>
    <n v="2"/>
    <n v="2"/>
    <n v="2"/>
    <n v="2"/>
    <n v="2"/>
    <n v="3"/>
    <n v="2"/>
    <n v="2"/>
    <n v="2"/>
    <n v="4"/>
    <n v="3"/>
    <n v="4"/>
    <n v="2"/>
    <n v="3"/>
    <n v="3"/>
    <n v="2"/>
    <n v="2"/>
    <n v="3"/>
    <n v="3"/>
    <n v="3"/>
    <n v="4"/>
    <n v="4"/>
    <n v="4"/>
    <n v="4"/>
    <n v="4"/>
    <s v="3,9,11,13,17"/>
    <n v="10"/>
    <n v="0"/>
    <n v="0"/>
    <n v="0"/>
    <n v="100"/>
    <n v="0"/>
    <n v="0"/>
    <n v="0"/>
  </r>
  <r>
    <s v="2024SP_40"/>
    <x v="1"/>
    <x v="0"/>
    <x v="39"/>
    <n v="425"/>
    <n v="2"/>
    <n v="2"/>
    <n v="1"/>
    <n v="1"/>
    <n v="3"/>
    <n v="2"/>
    <n v="2"/>
    <n v="2"/>
    <n v="2"/>
    <n v="2"/>
    <n v="3"/>
    <n v="3"/>
    <n v="2"/>
    <n v="2"/>
    <n v="1"/>
    <n v="1"/>
    <n v="3"/>
    <n v="4"/>
    <n v="3"/>
    <n v="3"/>
    <n v="4"/>
    <n v="3"/>
    <n v="4"/>
    <n v="3"/>
    <n v="3"/>
    <n v="3"/>
    <n v="4"/>
    <n v="4"/>
    <n v="4"/>
    <n v="4"/>
    <n v="2"/>
    <n v="3"/>
    <s v="3,8"/>
    <n v="10"/>
    <n v="25"/>
    <n v="10"/>
    <n v="10"/>
    <n v="10"/>
    <n v="10"/>
    <n v="10"/>
    <n v="25"/>
  </r>
  <r>
    <s v="2024SP_41"/>
    <x v="0"/>
    <x v="0"/>
    <x v="40"/>
    <n v="694"/>
    <n v="2"/>
    <n v="3"/>
    <n v="1"/>
    <n v="1"/>
    <n v="2"/>
    <n v="3"/>
    <n v="2"/>
    <n v="2"/>
    <n v="2"/>
    <n v="2"/>
    <n v="3"/>
    <n v="3"/>
    <n v="3"/>
    <n v="3"/>
    <n v="2"/>
    <n v="1"/>
    <n v="3"/>
    <n v="4"/>
    <n v="3"/>
    <n v="3"/>
    <n v="3"/>
    <n v="3"/>
    <n v="3"/>
    <n v="3"/>
    <n v="3"/>
    <n v="3"/>
    <n v="3"/>
    <n v="4"/>
    <n v="4"/>
    <n v="3"/>
    <n v="3"/>
    <n v="3"/>
    <s v="3,8,23"/>
    <n v="12"/>
    <n v="40"/>
    <n v="0"/>
    <n v="5"/>
    <n v="0"/>
    <n v="5"/>
    <n v="10"/>
    <n v="40"/>
  </r>
  <r>
    <s v="2024SP_42"/>
    <x v="1"/>
    <x v="1"/>
    <x v="41"/>
    <n v="275"/>
    <n v="2"/>
    <n v="1"/>
    <n v="1"/>
    <n v="1"/>
    <n v="1"/>
    <n v="2"/>
    <n v="1"/>
    <n v="1"/>
    <n v="2"/>
    <n v="1"/>
    <n v="2"/>
    <n v="1"/>
    <n v="1"/>
    <n v="1"/>
    <n v="1"/>
    <n v="3"/>
    <n v="3"/>
    <n v="4"/>
    <n v="3"/>
    <n v="2"/>
    <n v="4"/>
    <n v="3"/>
    <n v="3"/>
    <n v="3"/>
    <n v="4"/>
    <n v="2"/>
    <n v="3"/>
    <n v="3"/>
    <n v="2"/>
    <n v="3"/>
    <n v="1"/>
    <n v="3"/>
    <n v="3"/>
    <n v="12"/>
    <n v="33"/>
    <n v="0"/>
    <n v="0"/>
    <n v="0"/>
    <n v="0"/>
    <n v="0"/>
    <n v="67"/>
  </r>
  <r>
    <s v="2024SP_43"/>
    <x v="0"/>
    <x v="0"/>
    <x v="42"/>
    <n v="582"/>
    <n v="2"/>
    <n v="3"/>
    <n v="2"/>
    <n v="2"/>
    <n v="2"/>
    <n v="2"/>
    <n v="2"/>
    <n v="2"/>
    <n v="2"/>
    <n v="2"/>
    <n v="2"/>
    <n v="2"/>
    <n v="2"/>
    <n v="2"/>
    <n v="2"/>
    <n v="2"/>
    <n v="3"/>
    <n v="3"/>
    <n v="3"/>
    <n v="2"/>
    <n v="2"/>
    <n v="2"/>
    <n v="2"/>
    <n v="2"/>
    <n v="2"/>
    <n v="2"/>
    <n v="3"/>
    <n v="3"/>
    <n v="4"/>
    <n v="2"/>
    <n v="3"/>
    <n v="3"/>
    <s v="3,9,11,13,14"/>
    <n v="12"/>
    <n v="25"/>
    <n v="0"/>
    <n v="0"/>
    <n v="0"/>
    <n v="0"/>
    <n v="25"/>
    <n v="50"/>
  </r>
  <r>
    <s v="2024SP_44"/>
    <x v="0"/>
    <x v="0"/>
    <x v="43"/>
    <n v="295"/>
    <n v="1"/>
    <n v="2"/>
    <n v="1"/>
    <n v="1"/>
    <n v="1"/>
    <n v="1"/>
    <n v="1"/>
    <n v="1"/>
    <n v="1"/>
    <n v="1"/>
    <n v="1"/>
    <n v="2"/>
    <n v="1"/>
    <n v="1"/>
    <n v="1"/>
    <n v="2"/>
    <n v="4"/>
    <n v="4"/>
    <n v="4"/>
    <n v="4"/>
    <n v="4"/>
    <n v="4"/>
    <n v="4"/>
    <n v="4"/>
    <n v="4"/>
    <n v="4"/>
    <n v="4"/>
    <n v="4"/>
    <n v="4"/>
    <n v="4"/>
    <n v="2"/>
    <n v="4"/>
    <s v="3,12,13"/>
    <n v="12"/>
    <n v="30"/>
    <n v="25"/>
    <n v="15"/>
    <n v="0"/>
    <n v="0"/>
    <n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5975F-E5B6-4438-9B81-1045F0F509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50">
    <pivotField showAll="0"/>
    <pivotField showAll="0"/>
    <pivotField axis="axisRow" showAll="0">
      <items count="8">
        <item x="3"/>
        <item x="0"/>
        <item x="5"/>
        <item x="6"/>
        <item x="4"/>
        <item x="2"/>
        <item x="1"/>
        <item t="default"/>
      </items>
    </pivotField>
    <pivotField numFmtId="22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" fld="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B1D7C-8EBC-46FB-8DAE-18EFCD4A143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50">
    <pivotField showAll="0"/>
    <pivotField axis="axisRow" showAll="0">
      <items count="3">
        <item x="1"/>
        <item x="0"/>
        <item t="default"/>
      </items>
    </pivotField>
    <pivotField showAll="0"/>
    <pivotField numFmtId="22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Q4" fld="38" subtotal="average" baseField="1" baseItem="0"/>
  </dataFields>
  <formats count="2"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C45D3-4F28-4BF5-93A1-9138B57206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1:B73" firstHeaderRow="1" firstDataRow="1" firstDataCol="1"/>
  <pivotFields count="50">
    <pivotField showAll="0"/>
    <pivotField showAll="0"/>
    <pivotField showAll="0">
      <items count="8">
        <item x="3"/>
        <item x="0"/>
        <item x="5"/>
        <item x="6"/>
        <item x="4"/>
        <item x="2"/>
        <item x="1"/>
        <item t="default"/>
      </items>
    </pivotField>
    <pivotField axis="axisRow" numFmtId="22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5">
    <field x="49"/>
    <field x="48"/>
    <field x="47"/>
    <field x="46"/>
    <field x="3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4"/>
    </i>
    <i t="grand">
      <x/>
    </i>
  </rowItems>
  <colItems count="1">
    <i/>
  </colItems>
  <dataFields count="1">
    <dataField name="Count of Duration" fld="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B1112-3735-4679-ACA4-E0FF602E9F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9:D57" firstHeaderRow="1" firstDataRow="1" firstDataCol="1"/>
  <pivotFields count="50">
    <pivotField showAll="0"/>
    <pivotField showAll="0"/>
    <pivotField axis="axisRow" showAll="0">
      <items count="8">
        <item x="3"/>
        <item x="0"/>
        <item x="5"/>
        <item x="6"/>
        <item x="4"/>
        <item x="2"/>
        <item x="1"/>
        <item t="default"/>
      </items>
    </pivotField>
    <pivotField numFmtId="22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" fld="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6CBC-F551-4903-A718-45A028AA7B80}">
  <dimension ref="A3:B11"/>
  <sheetViews>
    <sheetView workbookViewId="0">
      <selection activeCell="B10" sqref="B10"/>
    </sheetView>
  </sheetViews>
  <sheetFormatPr defaultRowHeight="14.5" x14ac:dyDescent="0.35"/>
  <cols>
    <col min="1" max="1" width="16.453125" bestFit="1" customWidth="1"/>
    <col min="2" max="2" width="16.08984375" bestFit="1" customWidth="1"/>
  </cols>
  <sheetData>
    <row r="3" spans="1:2" x14ac:dyDescent="0.35">
      <c r="A3" s="26" t="s">
        <v>217</v>
      </c>
      <c r="B3" t="s">
        <v>219</v>
      </c>
    </row>
    <row r="4" spans="1:2" x14ac:dyDescent="0.35">
      <c r="A4" s="20" t="s">
        <v>108</v>
      </c>
      <c r="B4">
        <v>4</v>
      </c>
    </row>
    <row r="5" spans="1:2" x14ac:dyDescent="0.35">
      <c r="A5" s="20" t="s">
        <v>107</v>
      </c>
      <c r="B5">
        <v>13</v>
      </c>
    </row>
    <row r="6" spans="1:2" x14ac:dyDescent="0.35">
      <c r="A6" s="20" t="s">
        <v>106</v>
      </c>
      <c r="B6">
        <v>2</v>
      </c>
    </row>
    <row r="7" spans="1:2" x14ac:dyDescent="0.35">
      <c r="A7" s="20" t="s">
        <v>109</v>
      </c>
      <c r="B7">
        <v>3</v>
      </c>
    </row>
    <row r="8" spans="1:2" x14ac:dyDescent="0.35">
      <c r="A8" s="20" t="s">
        <v>208</v>
      </c>
      <c r="B8">
        <v>1</v>
      </c>
    </row>
    <row r="9" spans="1:2" x14ac:dyDescent="0.35">
      <c r="A9" s="20" t="s">
        <v>110</v>
      </c>
      <c r="B9">
        <v>10</v>
      </c>
    </row>
    <row r="10" spans="1:2" x14ac:dyDescent="0.35">
      <c r="A10" s="20" t="s">
        <v>105</v>
      </c>
      <c r="B10">
        <v>11</v>
      </c>
    </row>
    <row r="11" spans="1:2" x14ac:dyDescent="0.35">
      <c r="A11" s="20" t="s">
        <v>218</v>
      </c>
      <c r="B1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DD54-EED6-4F93-B771-AD38C1B2BA65}">
  <dimension ref="A3:B6"/>
  <sheetViews>
    <sheetView workbookViewId="0">
      <selection activeCell="A4" sqref="A4:B5"/>
    </sheetView>
  </sheetViews>
  <sheetFormatPr defaultRowHeight="14.5" x14ac:dyDescent="0.35"/>
  <cols>
    <col min="1" max="1" width="12.36328125" bestFit="1" customWidth="1"/>
    <col min="2" max="2" width="12.54296875" bestFit="1" customWidth="1"/>
  </cols>
  <sheetData>
    <row r="3" spans="1:2" x14ac:dyDescent="0.35">
      <c r="A3" s="26" t="s">
        <v>217</v>
      </c>
      <c r="B3" t="s">
        <v>260</v>
      </c>
    </row>
    <row r="4" spans="1:2" x14ac:dyDescent="0.35">
      <c r="A4" s="20" t="s">
        <v>176</v>
      </c>
      <c r="B4">
        <v>12.36</v>
      </c>
    </row>
    <row r="5" spans="1:2" x14ac:dyDescent="0.35">
      <c r="A5" s="20" t="s">
        <v>177</v>
      </c>
      <c r="B5" s="28">
        <v>12.578947368421053</v>
      </c>
    </row>
    <row r="6" spans="1:2" x14ac:dyDescent="0.35">
      <c r="A6" s="20" t="s">
        <v>218</v>
      </c>
      <c r="B6" s="28">
        <v>12.454545454545455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61BD-AD03-4B4C-85E5-242F54523592}">
  <dimension ref="A1:AT87"/>
  <sheetViews>
    <sheetView zoomScale="85" zoomScaleNormal="85" workbookViewId="0">
      <pane ySplit="1" topLeftCell="A48" activePane="bottomLeft" state="frozen"/>
      <selection pane="bottomLeft" activeCell="C51" sqref="C51"/>
    </sheetView>
  </sheetViews>
  <sheetFormatPr defaultRowHeight="14.5" x14ac:dyDescent="0.35"/>
  <cols>
    <col min="1" max="1" width="16.90625" customWidth="1"/>
    <col min="2" max="2" width="12.54296875" customWidth="1"/>
    <col min="3" max="3" width="19.453125" customWidth="1"/>
    <col min="4" max="4" width="15.1796875" bestFit="1" customWidth="1"/>
    <col min="5" max="5" width="12.7265625" style="3" customWidth="1"/>
    <col min="6" max="31" width="9.1796875" style="3"/>
    <col min="32" max="32" width="10" style="3" customWidth="1"/>
    <col min="33" max="37" width="9.1796875" style="3"/>
    <col min="38" max="38" width="23" style="20" customWidth="1"/>
    <col min="39" max="46" width="9.1796875" style="3"/>
  </cols>
  <sheetData>
    <row r="1" spans="1:46" x14ac:dyDescent="0.35">
      <c r="A1" s="1" t="s">
        <v>0</v>
      </c>
      <c r="B1" s="1" t="s">
        <v>172</v>
      </c>
      <c r="C1" s="1" t="s">
        <v>212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121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2" t="s">
        <v>29</v>
      </c>
      <c r="AH1" s="2" t="s">
        <v>30</v>
      </c>
      <c r="AI1" s="1" t="s">
        <v>31</v>
      </c>
      <c r="AJ1" s="1" t="s">
        <v>32</v>
      </c>
      <c r="AK1" s="1" t="s">
        <v>122</v>
      </c>
      <c r="AL1" s="23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</row>
    <row r="2" spans="1:46" x14ac:dyDescent="0.35">
      <c r="A2" s="3" t="s">
        <v>131</v>
      </c>
      <c r="B2" t="s">
        <v>177</v>
      </c>
      <c r="C2" t="s">
        <v>107</v>
      </c>
      <c r="D2" s="21">
        <v>45302.357893518521</v>
      </c>
      <c r="E2" s="3">
        <v>360</v>
      </c>
      <c r="F2" s="3">
        <v>2</v>
      </c>
      <c r="G2" s="3">
        <v>2</v>
      </c>
      <c r="H2" s="3">
        <v>1</v>
      </c>
      <c r="I2" s="3">
        <v>2</v>
      </c>
      <c r="J2" s="3">
        <v>1</v>
      </c>
      <c r="K2" s="3">
        <v>2</v>
      </c>
      <c r="L2" s="3">
        <v>1</v>
      </c>
      <c r="M2" s="3">
        <v>1</v>
      </c>
      <c r="N2" s="3">
        <v>2</v>
      </c>
      <c r="O2" s="3">
        <v>2</v>
      </c>
      <c r="P2" s="3">
        <v>2</v>
      </c>
      <c r="Q2" s="3">
        <v>3</v>
      </c>
      <c r="R2" s="3">
        <v>2</v>
      </c>
      <c r="S2" s="3">
        <v>1</v>
      </c>
      <c r="T2" s="3">
        <v>1</v>
      </c>
      <c r="U2" s="3">
        <v>1</v>
      </c>
      <c r="V2" s="3">
        <v>4</v>
      </c>
      <c r="W2" s="3">
        <v>4</v>
      </c>
      <c r="X2" s="3">
        <v>4</v>
      </c>
      <c r="Y2" s="3">
        <v>4</v>
      </c>
      <c r="Z2" s="3">
        <v>4</v>
      </c>
      <c r="AA2" s="3">
        <v>4</v>
      </c>
      <c r="AB2" s="3">
        <v>4</v>
      </c>
      <c r="AC2" s="3">
        <v>4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4</v>
      </c>
      <c r="AL2" s="20" t="s">
        <v>196</v>
      </c>
      <c r="AM2" s="5">
        <v>12</v>
      </c>
      <c r="AN2" s="5">
        <v>40</v>
      </c>
      <c r="AO2" s="5">
        <v>10</v>
      </c>
      <c r="AP2" s="5">
        <v>0</v>
      </c>
      <c r="AQ2" s="5">
        <v>0</v>
      </c>
      <c r="AR2" s="5">
        <v>0</v>
      </c>
      <c r="AS2" s="5">
        <v>10</v>
      </c>
      <c r="AT2" s="5">
        <v>40</v>
      </c>
    </row>
    <row r="3" spans="1:46" x14ac:dyDescent="0.35">
      <c r="A3" s="3" t="s">
        <v>132</v>
      </c>
      <c r="B3" t="s">
        <v>176</v>
      </c>
      <c r="C3" t="s">
        <v>105</v>
      </c>
      <c r="D3" s="21">
        <v>45302.437858796293</v>
      </c>
      <c r="E3" s="3">
        <v>689</v>
      </c>
      <c r="F3" s="3">
        <v>3</v>
      </c>
      <c r="G3" s="3">
        <v>4</v>
      </c>
      <c r="H3" s="3">
        <v>2</v>
      </c>
      <c r="I3" s="3">
        <v>3</v>
      </c>
      <c r="J3" s="3">
        <v>3</v>
      </c>
      <c r="K3" s="3">
        <v>3</v>
      </c>
      <c r="L3" s="3">
        <v>3</v>
      </c>
      <c r="M3" s="3">
        <v>3</v>
      </c>
      <c r="N3" s="3">
        <v>4</v>
      </c>
      <c r="O3" s="3">
        <v>3</v>
      </c>
      <c r="P3" s="3">
        <v>3</v>
      </c>
      <c r="Q3" s="3">
        <v>3</v>
      </c>
      <c r="R3" s="3">
        <v>2</v>
      </c>
      <c r="S3" s="3">
        <v>2</v>
      </c>
      <c r="T3" s="3">
        <v>2</v>
      </c>
      <c r="U3" s="3">
        <v>3</v>
      </c>
      <c r="V3" s="3">
        <v>4</v>
      </c>
      <c r="W3" s="3">
        <v>4</v>
      </c>
      <c r="X3" s="3">
        <v>4</v>
      </c>
      <c r="Y3" s="3">
        <v>4</v>
      </c>
      <c r="Z3" s="3">
        <v>4</v>
      </c>
      <c r="AA3" s="3">
        <v>4</v>
      </c>
      <c r="AB3" s="3">
        <v>4</v>
      </c>
      <c r="AC3" s="3">
        <v>4</v>
      </c>
      <c r="AD3" s="3">
        <v>4</v>
      </c>
      <c r="AE3" s="3">
        <v>4</v>
      </c>
      <c r="AF3" s="3">
        <v>4</v>
      </c>
      <c r="AG3" s="3">
        <v>4</v>
      </c>
      <c r="AH3" s="3">
        <v>4</v>
      </c>
      <c r="AI3" s="3">
        <v>4</v>
      </c>
      <c r="AJ3" s="3">
        <v>4</v>
      </c>
      <c r="AK3" s="3">
        <v>4</v>
      </c>
      <c r="AL3" s="20" t="s">
        <v>197</v>
      </c>
      <c r="AM3" s="5">
        <v>15</v>
      </c>
      <c r="AN3" s="5">
        <v>0</v>
      </c>
      <c r="AO3" s="5">
        <v>0</v>
      </c>
      <c r="AP3" s="5">
        <v>0</v>
      </c>
      <c r="AQ3" s="5">
        <v>0</v>
      </c>
      <c r="AR3" s="5">
        <v>40</v>
      </c>
      <c r="AS3" s="5">
        <v>40</v>
      </c>
      <c r="AT3" s="5">
        <v>20</v>
      </c>
    </row>
    <row r="4" spans="1:46" x14ac:dyDescent="0.35">
      <c r="A4" s="3" t="s">
        <v>133</v>
      </c>
      <c r="B4" t="s">
        <v>176</v>
      </c>
      <c r="C4" t="s">
        <v>110</v>
      </c>
      <c r="D4" s="21">
        <v>45302.560694444444</v>
      </c>
      <c r="E4" s="3">
        <v>603</v>
      </c>
      <c r="F4" s="3">
        <v>2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2</v>
      </c>
      <c r="M4" s="3">
        <v>2</v>
      </c>
      <c r="N4" s="3">
        <v>3</v>
      </c>
      <c r="O4" s="3">
        <v>2</v>
      </c>
      <c r="P4" s="3">
        <v>3</v>
      </c>
      <c r="Q4" s="3">
        <v>2</v>
      </c>
      <c r="R4" s="3">
        <v>2</v>
      </c>
      <c r="S4" s="3">
        <v>2</v>
      </c>
      <c r="T4" s="3">
        <v>1</v>
      </c>
      <c r="U4" s="3">
        <v>2</v>
      </c>
      <c r="V4" s="3">
        <v>4</v>
      </c>
      <c r="W4" s="3">
        <v>4</v>
      </c>
      <c r="X4" s="3">
        <v>4</v>
      </c>
      <c r="Y4" s="3">
        <v>4</v>
      </c>
      <c r="Z4" s="3">
        <v>4</v>
      </c>
      <c r="AA4" s="3">
        <v>4</v>
      </c>
      <c r="AB4" s="3">
        <v>3</v>
      </c>
      <c r="AC4" s="3">
        <v>3</v>
      </c>
      <c r="AD4" s="3">
        <v>4</v>
      </c>
      <c r="AE4" s="3">
        <v>4</v>
      </c>
      <c r="AF4" s="3">
        <v>4</v>
      </c>
      <c r="AG4" s="3">
        <v>4</v>
      </c>
      <c r="AH4" s="3">
        <v>4</v>
      </c>
      <c r="AI4" s="3">
        <v>4</v>
      </c>
      <c r="AJ4" s="3">
        <v>3</v>
      </c>
      <c r="AK4" s="3">
        <v>4</v>
      </c>
      <c r="AL4" s="20" t="s">
        <v>198</v>
      </c>
      <c r="AM4" s="5">
        <v>15</v>
      </c>
      <c r="AN4" s="5">
        <v>25</v>
      </c>
      <c r="AO4" s="5">
        <v>10</v>
      </c>
      <c r="AP4" s="5">
        <v>10</v>
      </c>
      <c r="AQ4" s="5">
        <v>10</v>
      </c>
      <c r="AR4" s="5">
        <v>10</v>
      </c>
      <c r="AS4" s="5">
        <v>10</v>
      </c>
      <c r="AT4" s="5">
        <v>25</v>
      </c>
    </row>
    <row r="5" spans="1:46" x14ac:dyDescent="0.35">
      <c r="A5" s="3" t="s">
        <v>134</v>
      </c>
      <c r="B5" t="s">
        <v>177</v>
      </c>
      <c r="C5" t="s">
        <v>105</v>
      </c>
      <c r="D5" s="21">
        <v>45302.768252314818</v>
      </c>
      <c r="E5" s="3">
        <v>453</v>
      </c>
      <c r="F5" s="3">
        <v>2</v>
      </c>
      <c r="G5" s="3">
        <v>2</v>
      </c>
      <c r="H5" s="3">
        <v>1</v>
      </c>
      <c r="I5" s="3">
        <v>2</v>
      </c>
      <c r="J5" s="3">
        <v>3</v>
      </c>
      <c r="K5" s="3">
        <v>2</v>
      </c>
      <c r="L5" s="3">
        <v>1</v>
      </c>
      <c r="M5" s="3">
        <v>1</v>
      </c>
      <c r="N5" s="3">
        <v>3</v>
      </c>
      <c r="O5" s="3">
        <v>2</v>
      </c>
      <c r="P5" s="3">
        <v>2</v>
      </c>
      <c r="Q5" s="3">
        <v>2</v>
      </c>
      <c r="R5" s="3">
        <v>2</v>
      </c>
      <c r="S5" s="3">
        <v>2</v>
      </c>
      <c r="T5" s="3">
        <v>1</v>
      </c>
      <c r="U5" s="3">
        <v>2</v>
      </c>
      <c r="V5" s="3">
        <v>4</v>
      </c>
      <c r="W5" s="3">
        <v>2</v>
      </c>
      <c r="X5" s="3">
        <v>4</v>
      </c>
      <c r="Y5" s="3">
        <v>4</v>
      </c>
      <c r="Z5" s="3">
        <v>3</v>
      </c>
      <c r="AA5" s="3">
        <v>4</v>
      </c>
      <c r="AB5" s="3">
        <v>2</v>
      </c>
      <c r="AC5" s="3">
        <v>2</v>
      </c>
      <c r="AD5" s="3">
        <v>4</v>
      </c>
      <c r="AE5" s="3">
        <v>4</v>
      </c>
      <c r="AF5" s="3">
        <v>3</v>
      </c>
      <c r="AG5" s="3">
        <v>3</v>
      </c>
      <c r="AH5" s="3">
        <v>3</v>
      </c>
      <c r="AI5" s="3">
        <v>4</v>
      </c>
      <c r="AJ5" s="3">
        <v>2</v>
      </c>
      <c r="AK5" s="3">
        <v>3</v>
      </c>
      <c r="AL5" s="20" t="s">
        <v>95</v>
      </c>
      <c r="AM5" s="5">
        <v>12</v>
      </c>
      <c r="AN5" s="5">
        <v>25</v>
      </c>
      <c r="AO5" s="5">
        <v>10</v>
      </c>
      <c r="AP5" s="5">
        <v>10</v>
      </c>
      <c r="AQ5" s="5">
        <v>10</v>
      </c>
      <c r="AR5" s="5">
        <v>10</v>
      </c>
      <c r="AS5" s="5">
        <v>10</v>
      </c>
      <c r="AT5" s="5">
        <v>25</v>
      </c>
    </row>
    <row r="6" spans="1:46" x14ac:dyDescent="0.35">
      <c r="A6" s="3" t="s">
        <v>135</v>
      </c>
      <c r="B6" t="s">
        <v>176</v>
      </c>
      <c r="C6" t="s">
        <v>110</v>
      </c>
      <c r="D6" s="21">
        <v>45303.38548611111</v>
      </c>
      <c r="E6" s="3">
        <v>983</v>
      </c>
      <c r="F6" s="3">
        <v>3</v>
      </c>
      <c r="G6" s="3">
        <v>4</v>
      </c>
      <c r="H6" s="3">
        <v>3</v>
      </c>
      <c r="I6" s="3">
        <v>3</v>
      </c>
      <c r="J6" s="3">
        <v>4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">
        <v>2</v>
      </c>
      <c r="Q6" s="3">
        <v>3</v>
      </c>
      <c r="R6" s="3">
        <v>2</v>
      </c>
      <c r="S6" s="3">
        <v>3</v>
      </c>
      <c r="T6" s="3">
        <v>2</v>
      </c>
      <c r="U6" s="3">
        <v>3</v>
      </c>
      <c r="V6" s="3">
        <v>4</v>
      </c>
      <c r="W6" s="3">
        <v>4</v>
      </c>
      <c r="X6" s="3">
        <v>4</v>
      </c>
      <c r="Y6" s="3">
        <v>4</v>
      </c>
      <c r="Z6" s="3">
        <v>4</v>
      </c>
      <c r="AA6" s="3">
        <v>4</v>
      </c>
      <c r="AB6" s="3">
        <v>4</v>
      </c>
      <c r="AC6" s="3">
        <v>4</v>
      </c>
      <c r="AD6" s="3">
        <v>4</v>
      </c>
      <c r="AE6" s="3">
        <v>4</v>
      </c>
      <c r="AF6" s="3">
        <v>4</v>
      </c>
      <c r="AG6" s="3">
        <v>4</v>
      </c>
      <c r="AH6" s="3">
        <v>4</v>
      </c>
      <c r="AI6" s="3">
        <v>4</v>
      </c>
      <c r="AJ6" s="3">
        <v>4</v>
      </c>
      <c r="AK6" s="3">
        <v>4</v>
      </c>
      <c r="AL6" s="20" t="s">
        <v>205</v>
      </c>
      <c r="AM6" s="5">
        <v>21</v>
      </c>
      <c r="AN6" s="5">
        <v>15</v>
      </c>
      <c r="AO6" s="5">
        <v>14</v>
      </c>
      <c r="AP6" s="5">
        <v>14</v>
      </c>
      <c r="AQ6" s="5">
        <v>14</v>
      </c>
      <c r="AR6" s="5">
        <v>14</v>
      </c>
      <c r="AS6" s="5">
        <v>14</v>
      </c>
      <c r="AT6" s="5">
        <v>15</v>
      </c>
    </row>
    <row r="7" spans="1:46" x14ac:dyDescent="0.35">
      <c r="A7" s="3" t="s">
        <v>136</v>
      </c>
      <c r="B7" t="s">
        <v>176</v>
      </c>
      <c r="C7" t="s">
        <v>108</v>
      </c>
      <c r="D7" s="21">
        <v>45303.445636574077</v>
      </c>
      <c r="E7" s="3">
        <v>184</v>
      </c>
      <c r="F7" s="3">
        <v>2</v>
      </c>
      <c r="G7" s="3">
        <v>2</v>
      </c>
      <c r="H7" s="3">
        <v>3</v>
      </c>
      <c r="I7" s="3">
        <v>1</v>
      </c>
      <c r="J7" s="3">
        <v>2</v>
      </c>
      <c r="K7" s="3">
        <v>2</v>
      </c>
      <c r="L7" s="3">
        <v>2</v>
      </c>
      <c r="M7" s="3">
        <v>2</v>
      </c>
      <c r="N7" s="3">
        <v>2</v>
      </c>
      <c r="O7" s="3">
        <v>2</v>
      </c>
      <c r="P7" s="3">
        <v>2</v>
      </c>
      <c r="Q7" s="3">
        <v>3</v>
      </c>
      <c r="R7" s="3">
        <v>3</v>
      </c>
      <c r="S7" s="3">
        <v>2</v>
      </c>
      <c r="T7" s="3">
        <v>3</v>
      </c>
      <c r="U7" s="3">
        <v>2</v>
      </c>
      <c r="V7" s="3">
        <v>2</v>
      </c>
      <c r="W7" s="3">
        <v>1</v>
      </c>
      <c r="X7" s="3">
        <v>3</v>
      </c>
      <c r="Y7" s="3">
        <v>2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2</v>
      </c>
      <c r="AH7" s="3">
        <v>2</v>
      </c>
      <c r="AI7" s="3">
        <v>1</v>
      </c>
      <c r="AJ7" s="3">
        <v>2</v>
      </c>
      <c r="AK7" s="3">
        <v>1</v>
      </c>
      <c r="AL7" s="20" t="s">
        <v>119</v>
      </c>
      <c r="AM7" s="5">
        <v>12</v>
      </c>
      <c r="AN7" s="5">
        <v>25</v>
      </c>
      <c r="AO7" s="5">
        <v>10</v>
      </c>
      <c r="AP7" s="5">
        <v>10</v>
      </c>
      <c r="AQ7" s="5">
        <v>10</v>
      </c>
      <c r="AR7" s="5">
        <v>10</v>
      </c>
      <c r="AS7" s="5">
        <v>10</v>
      </c>
      <c r="AT7" s="5">
        <v>25</v>
      </c>
    </row>
    <row r="8" spans="1:46" x14ac:dyDescent="0.35">
      <c r="A8" s="3" t="s">
        <v>137</v>
      </c>
      <c r="B8" t="s">
        <v>177</v>
      </c>
      <c r="C8" t="s">
        <v>107</v>
      </c>
      <c r="D8" s="21">
        <v>45303.455613425926</v>
      </c>
      <c r="E8" s="3">
        <v>277</v>
      </c>
      <c r="F8" s="3">
        <v>2</v>
      </c>
      <c r="G8" s="3">
        <v>2</v>
      </c>
      <c r="H8" s="3">
        <v>2</v>
      </c>
      <c r="I8" s="3">
        <v>1</v>
      </c>
      <c r="J8" s="3">
        <v>2</v>
      </c>
      <c r="K8" s="3">
        <v>2</v>
      </c>
      <c r="L8" s="3">
        <v>1</v>
      </c>
      <c r="M8" s="3">
        <v>2</v>
      </c>
      <c r="N8" s="3">
        <v>2</v>
      </c>
      <c r="O8" s="3">
        <v>2</v>
      </c>
      <c r="P8" s="3">
        <v>3</v>
      </c>
      <c r="Q8" s="3">
        <v>3</v>
      </c>
      <c r="R8" s="3">
        <v>3</v>
      </c>
      <c r="S8" s="3">
        <v>2</v>
      </c>
      <c r="T8" s="3">
        <v>1</v>
      </c>
      <c r="U8" s="3">
        <v>1</v>
      </c>
      <c r="V8" s="3">
        <v>3</v>
      </c>
      <c r="W8" s="3">
        <v>3</v>
      </c>
      <c r="X8" s="3">
        <v>3</v>
      </c>
      <c r="Y8" s="3">
        <v>3</v>
      </c>
      <c r="Z8" s="3">
        <v>3</v>
      </c>
      <c r="AA8" s="3">
        <v>3</v>
      </c>
      <c r="AB8" s="3">
        <v>3</v>
      </c>
      <c r="AC8" s="3">
        <v>3</v>
      </c>
      <c r="AD8" s="3">
        <v>3</v>
      </c>
      <c r="AE8" s="3">
        <v>3</v>
      </c>
      <c r="AF8" s="3">
        <v>3</v>
      </c>
      <c r="AG8" s="3">
        <v>3</v>
      </c>
      <c r="AH8" s="3">
        <v>3</v>
      </c>
      <c r="AI8" s="3">
        <v>3</v>
      </c>
      <c r="AJ8" s="3">
        <v>3</v>
      </c>
      <c r="AK8" s="3">
        <v>3</v>
      </c>
      <c r="AL8" s="20" t="s">
        <v>199</v>
      </c>
      <c r="AM8" s="5">
        <v>15</v>
      </c>
      <c r="AN8" s="5">
        <v>80</v>
      </c>
      <c r="AO8" s="5">
        <v>10</v>
      </c>
      <c r="AP8" s="5">
        <v>0</v>
      </c>
      <c r="AQ8" s="5">
        <v>10</v>
      </c>
      <c r="AR8" s="5">
        <v>0</v>
      </c>
      <c r="AS8" s="5">
        <v>0</v>
      </c>
      <c r="AT8" s="5">
        <v>0</v>
      </c>
    </row>
    <row r="9" spans="1:46" x14ac:dyDescent="0.35">
      <c r="A9" s="3" t="s">
        <v>138</v>
      </c>
      <c r="B9" t="s">
        <v>176</v>
      </c>
      <c r="C9" t="s">
        <v>110</v>
      </c>
      <c r="D9" s="21">
        <v>45303.588252314818</v>
      </c>
      <c r="E9" s="3">
        <v>441</v>
      </c>
      <c r="F9" s="3">
        <v>2</v>
      </c>
      <c r="G9" s="3">
        <v>3</v>
      </c>
      <c r="H9" s="3">
        <v>2</v>
      </c>
      <c r="I9" s="3">
        <v>1</v>
      </c>
      <c r="J9" s="3">
        <v>1</v>
      </c>
      <c r="K9" s="3">
        <v>2</v>
      </c>
      <c r="L9" s="3">
        <v>1</v>
      </c>
      <c r="M9" s="3">
        <v>2</v>
      </c>
      <c r="N9" s="3">
        <v>2</v>
      </c>
      <c r="O9" s="3">
        <v>2</v>
      </c>
      <c r="P9" s="3">
        <v>3</v>
      </c>
      <c r="Q9" s="3">
        <v>3</v>
      </c>
      <c r="R9" s="3">
        <v>2</v>
      </c>
      <c r="S9" s="3">
        <v>1</v>
      </c>
      <c r="T9" s="3">
        <v>1</v>
      </c>
      <c r="U9" s="3">
        <v>2</v>
      </c>
      <c r="V9" s="3">
        <v>3</v>
      </c>
      <c r="W9" s="3">
        <v>4</v>
      </c>
      <c r="X9" s="3">
        <v>3</v>
      </c>
      <c r="Y9" s="3">
        <v>3</v>
      </c>
      <c r="Z9" s="3">
        <v>3</v>
      </c>
      <c r="AA9" s="3">
        <v>3</v>
      </c>
      <c r="AB9" s="3">
        <v>3</v>
      </c>
      <c r="AC9" s="3">
        <v>4</v>
      </c>
      <c r="AD9" s="3">
        <v>3</v>
      </c>
      <c r="AE9" s="3">
        <v>4</v>
      </c>
      <c r="AF9" s="3">
        <v>4</v>
      </c>
      <c r="AG9" s="3">
        <v>4</v>
      </c>
      <c r="AH9" s="3">
        <v>3</v>
      </c>
      <c r="AI9" s="3">
        <v>3</v>
      </c>
      <c r="AJ9" s="3">
        <v>3</v>
      </c>
      <c r="AK9" s="3">
        <v>3</v>
      </c>
      <c r="AL9" s="20" t="s">
        <v>94</v>
      </c>
      <c r="AM9" s="5">
        <v>12</v>
      </c>
      <c r="AN9" s="5">
        <v>25</v>
      </c>
      <c r="AO9" s="5">
        <v>10</v>
      </c>
      <c r="AP9" s="5">
        <v>10</v>
      </c>
      <c r="AQ9" s="5">
        <v>10</v>
      </c>
      <c r="AR9" s="5">
        <v>10</v>
      </c>
      <c r="AS9" s="5">
        <v>10</v>
      </c>
      <c r="AT9" s="5">
        <v>25</v>
      </c>
    </row>
    <row r="10" spans="1:46" x14ac:dyDescent="0.35">
      <c r="A10" s="3" t="s">
        <v>139</v>
      </c>
      <c r="B10" t="s">
        <v>177</v>
      </c>
      <c r="C10" t="s">
        <v>105</v>
      </c>
      <c r="D10" s="21">
        <v>45304.467650462961</v>
      </c>
      <c r="E10" s="3">
        <v>425</v>
      </c>
      <c r="F10" s="3">
        <v>2</v>
      </c>
      <c r="G10" s="3">
        <v>2</v>
      </c>
      <c r="H10" s="3">
        <v>1</v>
      </c>
      <c r="I10" s="3">
        <v>2</v>
      </c>
      <c r="J10" s="3">
        <v>2</v>
      </c>
      <c r="K10" s="3">
        <v>1</v>
      </c>
      <c r="L10" s="3">
        <v>1</v>
      </c>
      <c r="M10" s="3">
        <v>1</v>
      </c>
      <c r="N10" s="3">
        <v>2</v>
      </c>
      <c r="O10" s="3">
        <v>1</v>
      </c>
      <c r="P10" s="3">
        <v>2</v>
      </c>
      <c r="Q10" s="3">
        <v>2</v>
      </c>
      <c r="R10" s="3">
        <v>2</v>
      </c>
      <c r="S10" s="3">
        <v>2</v>
      </c>
      <c r="T10" s="3">
        <v>2</v>
      </c>
      <c r="U10" s="3">
        <v>2</v>
      </c>
      <c r="V10" s="3">
        <v>4</v>
      </c>
      <c r="W10" s="3">
        <v>4</v>
      </c>
      <c r="X10" s="3">
        <v>3</v>
      </c>
      <c r="Y10" s="3">
        <v>3</v>
      </c>
      <c r="Z10" s="3">
        <v>4</v>
      </c>
      <c r="AA10" s="3">
        <v>3</v>
      </c>
      <c r="AB10" s="3">
        <v>3</v>
      </c>
      <c r="AC10" s="3">
        <v>3</v>
      </c>
      <c r="AD10" s="3">
        <v>3</v>
      </c>
      <c r="AE10" s="3">
        <v>3</v>
      </c>
      <c r="AF10" s="3">
        <v>4</v>
      </c>
      <c r="AG10" s="3">
        <v>4</v>
      </c>
      <c r="AH10" s="3">
        <v>3</v>
      </c>
      <c r="AI10" s="3">
        <v>3</v>
      </c>
      <c r="AJ10" s="3">
        <v>3</v>
      </c>
      <c r="AK10" s="3">
        <v>3</v>
      </c>
      <c r="AL10" s="20" t="s">
        <v>180</v>
      </c>
      <c r="AM10" s="5">
        <v>12</v>
      </c>
      <c r="AN10" s="5">
        <v>25</v>
      </c>
      <c r="AO10" s="5">
        <v>10</v>
      </c>
      <c r="AP10" s="5">
        <v>15</v>
      </c>
      <c r="AQ10" s="5">
        <v>10</v>
      </c>
      <c r="AR10" s="5">
        <v>15</v>
      </c>
      <c r="AS10" s="5">
        <v>0</v>
      </c>
      <c r="AT10" s="5">
        <v>25</v>
      </c>
    </row>
    <row r="11" spans="1:46" x14ac:dyDescent="0.35">
      <c r="A11" s="3" t="s">
        <v>140</v>
      </c>
      <c r="B11" t="s">
        <v>176</v>
      </c>
      <c r="C11" t="s">
        <v>110</v>
      </c>
      <c r="D11" s="21">
        <v>45304.593321759261</v>
      </c>
      <c r="E11" s="3">
        <v>550</v>
      </c>
      <c r="F11" s="3">
        <v>3</v>
      </c>
      <c r="G11" s="3">
        <v>2</v>
      </c>
      <c r="H11" s="3">
        <v>3</v>
      </c>
      <c r="I11" s="3">
        <v>2</v>
      </c>
      <c r="J11" s="3">
        <v>3</v>
      </c>
      <c r="K11" s="3">
        <v>3</v>
      </c>
      <c r="L11" s="3">
        <v>2</v>
      </c>
      <c r="M11" s="3">
        <v>3</v>
      </c>
      <c r="N11" s="3">
        <v>3</v>
      </c>
      <c r="O11" s="3">
        <v>3</v>
      </c>
      <c r="P11" s="3">
        <v>3</v>
      </c>
      <c r="Q11" s="3">
        <v>3</v>
      </c>
      <c r="R11" s="3">
        <v>3</v>
      </c>
      <c r="S11" s="3">
        <v>3</v>
      </c>
      <c r="T11" s="3">
        <v>3</v>
      </c>
      <c r="U11" s="3">
        <v>3</v>
      </c>
      <c r="V11" s="3">
        <v>4</v>
      </c>
      <c r="W11" s="3">
        <v>3</v>
      </c>
      <c r="X11" s="3">
        <v>4</v>
      </c>
      <c r="Y11" s="3">
        <v>2</v>
      </c>
      <c r="Z11" s="3">
        <v>3</v>
      </c>
      <c r="AA11" s="3">
        <v>3</v>
      </c>
      <c r="AB11" s="3">
        <v>2</v>
      </c>
      <c r="AC11" s="3">
        <v>3</v>
      </c>
      <c r="AD11" s="3">
        <v>3</v>
      </c>
      <c r="AE11" s="3">
        <v>4</v>
      </c>
      <c r="AF11" s="3">
        <v>4</v>
      </c>
      <c r="AG11" s="3">
        <v>4</v>
      </c>
      <c r="AH11" s="3">
        <v>4</v>
      </c>
      <c r="AI11" s="3">
        <v>3</v>
      </c>
      <c r="AJ11" s="3">
        <v>3</v>
      </c>
      <c r="AK11" s="3">
        <v>3</v>
      </c>
      <c r="AL11" s="20" t="s">
        <v>118</v>
      </c>
      <c r="AM11" s="5">
        <v>12</v>
      </c>
      <c r="AN11" s="5">
        <v>15</v>
      </c>
      <c r="AO11" s="5">
        <v>10</v>
      </c>
      <c r="AP11" s="5">
        <v>10</v>
      </c>
      <c r="AQ11" s="5">
        <v>10</v>
      </c>
      <c r="AR11" s="5">
        <v>5</v>
      </c>
      <c r="AS11" s="5">
        <v>25</v>
      </c>
      <c r="AT11" s="5">
        <v>25</v>
      </c>
    </row>
    <row r="12" spans="1:46" x14ac:dyDescent="0.35">
      <c r="A12" s="3" t="s">
        <v>141</v>
      </c>
      <c r="B12" t="s">
        <v>176</v>
      </c>
      <c r="C12" t="s">
        <v>110</v>
      </c>
      <c r="D12" s="21">
        <v>45304.953275462962</v>
      </c>
      <c r="E12" s="3">
        <v>338</v>
      </c>
      <c r="F12" s="3">
        <v>3</v>
      </c>
      <c r="G12" s="3">
        <v>4</v>
      </c>
      <c r="H12" s="3">
        <v>2</v>
      </c>
      <c r="I12" s="3">
        <v>3</v>
      </c>
      <c r="J12" s="3">
        <v>2</v>
      </c>
      <c r="K12" s="3">
        <v>2</v>
      </c>
      <c r="L12" s="3">
        <v>1</v>
      </c>
      <c r="M12" s="3">
        <v>1</v>
      </c>
      <c r="N12" s="3">
        <v>2</v>
      </c>
      <c r="O12" s="3">
        <v>2</v>
      </c>
      <c r="P12" s="3">
        <v>2</v>
      </c>
      <c r="Q12" s="3">
        <v>3</v>
      </c>
      <c r="R12" s="3">
        <v>3</v>
      </c>
      <c r="S12" s="3">
        <v>2</v>
      </c>
      <c r="T12" s="3">
        <v>2</v>
      </c>
      <c r="U12" s="3">
        <v>3</v>
      </c>
      <c r="V12" s="3">
        <v>4</v>
      </c>
      <c r="W12" s="3">
        <v>4</v>
      </c>
      <c r="X12" s="3">
        <v>3</v>
      </c>
      <c r="Y12" s="3">
        <v>4</v>
      </c>
      <c r="Z12" s="3">
        <v>4</v>
      </c>
      <c r="AA12" s="3">
        <v>3</v>
      </c>
      <c r="AB12" s="3">
        <v>3</v>
      </c>
      <c r="AC12" s="3">
        <v>3</v>
      </c>
      <c r="AD12" s="3">
        <v>3</v>
      </c>
      <c r="AE12" s="3">
        <v>3</v>
      </c>
      <c r="AF12" s="3">
        <v>4</v>
      </c>
      <c r="AG12" s="3">
        <v>4</v>
      </c>
      <c r="AH12" s="3">
        <v>4</v>
      </c>
      <c r="AI12" s="3">
        <v>4</v>
      </c>
      <c r="AJ12" s="3">
        <v>4</v>
      </c>
      <c r="AK12" s="3">
        <v>4</v>
      </c>
      <c r="AL12" s="20" t="s">
        <v>200</v>
      </c>
      <c r="AM12" s="5">
        <v>10</v>
      </c>
      <c r="AN12" s="5">
        <v>0</v>
      </c>
      <c r="AO12" s="5">
        <v>20</v>
      </c>
      <c r="AP12" s="5">
        <v>20</v>
      </c>
      <c r="AQ12" s="5">
        <v>20</v>
      </c>
      <c r="AR12" s="5">
        <v>20</v>
      </c>
      <c r="AS12" s="5">
        <v>20</v>
      </c>
      <c r="AT12" s="5">
        <v>0</v>
      </c>
    </row>
    <row r="13" spans="1:46" x14ac:dyDescent="0.35">
      <c r="A13" s="3" t="s">
        <v>142</v>
      </c>
      <c r="B13" t="s">
        <v>177</v>
      </c>
      <c r="C13" t="s">
        <v>105</v>
      </c>
      <c r="D13" s="21">
        <v>45305.339571759258</v>
      </c>
      <c r="E13" s="3">
        <v>221</v>
      </c>
      <c r="F13" s="3">
        <v>1</v>
      </c>
      <c r="G13" s="3">
        <v>2</v>
      </c>
      <c r="H13" s="3">
        <v>1</v>
      </c>
      <c r="I13" s="3">
        <v>2</v>
      </c>
      <c r="J13" s="3">
        <v>2</v>
      </c>
      <c r="K13" s="3">
        <v>1</v>
      </c>
      <c r="L13" s="3">
        <v>2</v>
      </c>
      <c r="M13" s="3">
        <v>1</v>
      </c>
      <c r="N13" s="3">
        <v>2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2</v>
      </c>
      <c r="V13" s="3">
        <v>3</v>
      </c>
      <c r="W13" s="3">
        <v>3</v>
      </c>
      <c r="X13" s="3">
        <v>3</v>
      </c>
      <c r="Y13" s="3">
        <v>3</v>
      </c>
      <c r="Z13" s="3">
        <v>3</v>
      </c>
      <c r="AA13" s="3">
        <v>3</v>
      </c>
      <c r="AB13" s="3">
        <v>3</v>
      </c>
      <c r="AC13" s="3">
        <v>3</v>
      </c>
      <c r="AD13" s="3">
        <v>3</v>
      </c>
      <c r="AE13" s="3">
        <v>3</v>
      </c>
      <c r="AF13" s="3">
        <v>3</v>
      </c>
      <c r="AG13" s="3">
        <v>3</v>
      </c>
      <c r="AH13" s="3">
        <v>3</v>
      </c>
      <c r="AI13" s="3">
        <v>3</v>
      </c>
      <c r="AJ13" s="3">
        <v>3</v>
      </c>
      <c r="AK13" s="3">
        <v>3</v>
      </c>
      <c r="AL13" s="20" t="s">
        <v>111</v>
      </c>
      <c r="AM13" s="5">
        <v>12</v>
      </c>
      <c r="AN13" s="5">
        <v>25</v>
      </c>
      <c r="AO13" s="5">
        <v>0</v>
      </c>
      <c r="AP13" s="5">
        <v>0</v>
      </c>
      <c r="AQ13" s="5">
        <v>25</v>
      </c>
      <c r="AR13" s="5">
        <v>0</v>
      </c>
      <c r="AS13" s="5">
        <v>25</v>
      </c>
      <c r="AT13" s="5">
        <v>25</v>
      </c>
    </row>
    <row r="14" spans="1:46" x14ac:dyDescent="0.35">
      <c r="A14" s="3" t="s">
        <v>143</v>
      </c>
      <c r="B14" t="s">
        <v>177</v>
      </c>
      <c r="C14" t="s">
        <v>208</v>
      </c>
      <c r="D14" s="21">
        <v>45305.835578703707</v>
      </c>
      <c r="E14" s="3">
        <v>1257</v>
      </c>
      <c r="F14" s="3">
        <v>2</v>
      </c>
      <c r="G14" s="3">
        <v>3</v>
      </c>
      <c r="H14" s="3">
        <v>1</v>
      </c>
      <c r="I14" s="3">
        <v>3</v>
      </c>
      <c r="J14" s="3">
        <v>3</v>
      </c>
      <c r="K14" s="3">
        <v>3</v>
      </c>
      <c r="L14" s="3">
        <v>1</v>
      </c>
      <c r="M14" s="3">
        <v>1</v>
      </c>
      <c r="N14" s="3">
        <v>3</v>
      </c>
      <c r="O14" s="3">
        <v>2</v>
      </c>
      <c r="P14" s="3">
        <v>2</v>
      </c>
      <c r="Q14" s="3">
        <v>3</v>
      </c>
      <c r="R14" s="3">
        <v>3</v>
      </c>
      <c r="S14" s="3">
        <v>2</v>
      </c>
      <c r="T14" s="3">
        <v>1</v>
      </c>
      <c r="U14" s="3">
        <v>1</v>
      </c>
      <c r="V14" s="3">
        <v>4</v>
      </c>
      <c r="W14" s="3">
        <v>4</v>
      </c>
      <c r="X14" s="3">
        <v>4</v>
      </c>
      <c r="Y14" s="3">
        <v>4</v>
      </c>
      <c r="Z14" s="3">
        <v>4</v>
      </c>
      <c r="AA14" s="3">
        <v>4</v>
      </c>
      <c r="AB14" s="3">
        <v>4</v>
      </c>
      <c r="AC14" s="3">
        <v>4</v>
      </c>
      <c r="AD14" s="3">
        <v>4</v>
      </c>
      <c r="AE14" s="3">
        <v>4</v>
      </c>
      <c r="AF14" s="3">
        <v>4</v>
      </c>
      <c r="AG14" s="3">
        <v>4</v>
      </c>
      <c r="AH14" s="3">
        <v>4</v>
      </c>
      <c r="AI14" s="3">
        <v>4</v>
      </c>
      <c r="AJ14" s="3">
        <v>4</v>
      </c>
      <c r="AK14" s="3">
        <v>4</v>
      </c>
      <c r="AL14" s="20" t="s">
        <v>95</v>
      </c>
      <c r="AM14" s="5">
        <v>12</v>
      </c>
      <c r="AN14" s="5">
        <v>17</v>
      </c>
      <c r="AO14" s="5">
        <v>12</v>
      </c>
      <c r="AP14" s="5">
        <v>12</v>
      </c>
      <c r="AQ14" s="5">
        <v>12</v>
      </c>
      <c r="AR14" s="5">
        <v>12</v>
      </c>
      <c r="AS14" s="5">
        <v>15</v>
      </c>
      <c r="AT14" s="5">
        <v>20</v>
      </c>
    </row>
    <row r="15" spans="1:46" x14ac:dyDescent="0.35">
      <c r="A15" s="3" t="s">
        <v>144</v>
      </c>
      <c r="B15" t="s">
        <v>177</v>
      </c>
      <c r="C15" t="s">
        <v>105</v>
      </c>
      <c r="D15" s="21">
        <v>45306.357546296298</v>
      </c>
      <c r="E15" s="3">
        <v>323</v>
      </c>
      <c r="F15" s="3">
        <v>3</v>
      </c>
      <c r="G15" s="3">
        <v>4</v>
      </c>
      <c r="H15" s="3">
        <v>4</v>
      </c>
      <c r="I15" s="3">
        <v>2</v>
      </c>
      <c r="J15" s="3">
        <v>3</v>
      </c>
      <c r="K15" s="3">
        <v>3</v>
      </c>
      <c r="L15" s="3">
        <v>2</v>
      </c>
      <c r="M15" s="3">
        <v>1</v>
      </c>
      <c r="N15" s="3">
        <v>3</v>
      </c>
      <c r="O15" s="3">
        <v>4</v>
      </c>
      <c r="P15" s="3">
        <v>4</v>
      </c>
      <c r="Q15" s="3">
        <v>4</v>
      </c>
      <c r="R15" s="3">
        <v>4</v>
      </c>
      <c r="S15" s="3">
        <v>3</v>
      </c>
      <c r="T15" s="3">
        <v>1</v>
      </c>
      <c r="U15" s="3">
        <v>3</v>
      </c>
      <c r="V15" s="3">
        <v>2</v>
      </c>
      <c r="W15" s="3">
        <v>1</v>
      </c>
      <c r="X15" s="3">
        <v>2</v>
      </c>
      <c r="Y15" s="3">
        <v>3</v>
      </c>
      <c r="Z15" s="3">
        <v>2</v>
      </c>
      <c r="AA15" s="3">
        <v>2</v>
      </c>
      <c r="AB15" s="3">
        <v>3</v>
      </c>
      <c r="AC15" s="3">
        <v>3</v>
      </c>
      <c r="AD15" s="3">
        <v>2</v>
      </c>
      <c r="AE15" s="3">
        <v>2</v>
      </c>
      <c r="AF15" s="3">
        <v>2</v>
      </c>
      <c r="AG15" s="3">
        <v>2</v>
      </c>
      <c r="AH15" s="3">
        <v>2</v>
      </c>
      <c r="AI15" s="3">
        <v>2</v>
      </c>
      <c r="AJ15" s="3">
        <v>2</v>
      </c>
      <c r="AK15" s="3">
        <v>2</v>
      </c>
      <c r="AL15" s="20" t="s">
        <v>178</v>
      </c>
      <c r="AM15" s="5">
        <v>12</v>
      </c>
      <c r="AN15" s="5">
        <v>20</v>
      </c>
      <c r="AO15" s="5">
        <v>0</v>
      </c>
      <c r="AP15" s="5">
        <v>0</v>
      </c>
      <c r="AQ15" s="5">
        <v>0</v>
      </c>
      <c r="AR15" s="5">
        <v>0</v>
      </c>
      <c r="AS15" s="5">
        <v>60</v>
      </c>
      <c r="AT15" s="5">
        <v>20</v>
      </c>
    </row>
    <row r="16" spans="1:46" x14ac:dyDescent="0.35">
      <c r="A16" s="3" t="s">
        <v>145</v>
      </c>
      <c r="B16" t="s">
        <v>176</v>
      </c>
      <c r="C16" t="s">
        <v>106</v>
      </c>
      <c r="D16" s="21">
        <v>45306.480636574073</v>
      </c>
      <c r="E16" s="3">
        <v>374</v>
      </c>
      <c r="F16" s="3">
        <v>3</v>
      </c>
      <c r="G16" s="3">
        <v>4</v>
      </c>
      <c r="H16" s="3">
        <v>3</v>
      </c>
      <c r="I16" s="3">
        <v>4</v>
      </c>
      <c r="J16" s="3">
        <v>4</v>
      </c>
      <c r="K16" s="3">
        <v>4</v>
      </c>
      <c r="L16" s="3">
        <v>3</v>
      </c>
      <c r="M16" s="3">
        <v>3</v>
      </c>
      <c r="N16" s="3">
        <v>4</v>
      </c>
      <c r="O16" s="3">
        <v>3</v>
      </c>
      <c r="P16" s="3">
        <v>3</v>
      </c>
      <c r="Q16" s="3">
        <v>4</v>
      </c>
      <c r="R16" s="3">
        <v>4</v>
      </c>
      <c r="S16" s="3">
        <v>3</v>
      </c>
      <c r="T16" s="3">
        <v>3</v>
      </c>
      <c r="U16" s="3">
        <v>3</v>
      </c>
      <c r="V16" s="3">
        <v>4</v>
      </c>
      <c r="W16" s="3">
        <v>4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4</v>
      </c>
      <c r="AE16" s="3">
        <v>4</v>
      </c>
      <c r="AF16" s="3">
        <v>4</v>
      </c>
      <c r="AG16" s="3">
        <v>4</v>
      </c>
      <c r="AH16" s="3">
        <v>4</v>
      </c>
      <c r="AI16" s="3">
        <v>4</v>
      </c>
      <c r="AJ16" s="3">
        <v>3</v>
      </c>
      <c r="AK16" s="3">
        <v>3</v>
      </c>
      <c r="AL16" s="20" t="s">
        <v>206</v>
      </c>
      <c r="AM16" s="5">
        <v>12</v>
      </c>
      <c r="AN16" s="5">
        <v>35</v>
      </c>
      <c r="AO16" s="5">
        <v>10</v>
      </c>
      <c r="AP16" s="5">
        <v>10</v>
      </c>
      <c r="AQ16" s="5">
        <v>10</v>
      </c>
      <c r="AR16" s="5">
        <v>10</v>
      </c>
      <c r="AS16" s="5">
        <v>0</v>
      </c>
      <c r="AT16" s="5">
        <v>25</v>
      </c>
    </row>
    <row r="17" spans="1:46" x14ac:dyDescent="0.35">
      <c r="A17" s="3" t="s">
        <v>146</v>
      </c>
      <c r="B17" t="s">
        <v>177</v>
      </c>
      <c r="C17" t="s">
        <v>107</v>
      </c>
      <c r="D17" s="21">
        <v>45306.494166666664</v>
      </c>
      <c r="E17" s="3">
        <v>1489</v>
      </c>
      <c r="F17" s="3">
        <v>2</v>
      </c>
      <c r="G17" s="3">
        <v>3</v>
      </c>
      <c r="H17" s="3">
        <v>1</v>
      </c>
      <c r="I17" s="3">
        <v>2</v>
      </c>
      <c r="J17" s="3">
        <v>2</v>
      </c>
      <c r="K17" s="3">
        <v>2</v>
      </c>
      <c r="L17" s="3">
        <v>2</v>
      </c>
      <c r="M17" s="3">
        <v>2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1</v>
      </c>
      <c r="U17" s="3">
        <v>3</v>
      </c>
      <c r="V17" s="3">
        <v>3</v>
      </c>
      <c r="W17" s="3">
        <v>4</v>
      </c>
      <c r="X17" s="3">
        <v>3</v>
      </c>
      <c r="Y17" s="3">
        <v>3</v>
      </c>
      <c r="Z17" s="3">
        <v>3</v>
      </c>
      <c r="AA17" s="3">
        <v>3</v>
      </c>
      <c r="AB17" s="3">
        <v>3</v>
      </c>
      <c r="AC17" s="3">
        <v>3</v>
      </c>
      <c r="AD17" s="3">
        <v>3</v>
      </c>
      <c r="AE17" s="3">
        <v>4</v>
      </c>
      <c r="AF17" s="3">
        <v>3</v>
      </c>
      <c r="AG17" s="3">
        <v>4</v>
      </c>
      <c r="AH17" s="3">
        <v>4</v>
      </c>
      <c r="AI17" s="3">
        <v>3</v>
      </c>
      <c r="AJ17" s="3">
        <v>2</v>
      </c>
      <c r="AK17" s="3">
        <v>3</v>
      </c>
      <c r="AL17" s="20" t="s">
        <v>207</v>
      </c>
      <c r="AM17" s="5">
        <v>12</v>
      </c>
      <c r="AN17" s="5">
        <v>20</v>
      </c>
      <c r="AO17" s="5">
        <v>10</v>
      </c>
      <c r="AP17" s="5">
        <v>15</v>
      </c>
      <c r="AQ17" s="5">
        <v>0</v>
      </c>
      <c r="AR17" s="5">
        <v>15</v>
      </c>
      <c r="AS17" s="5">
        <v>10</v>
      </c>
      <c r="AT17" s="5">
        <v>30</v>
      </c>
    </row>
    <row r="18" spans="1:46" x14ac:dyDescent="0.35">
      <c r="A18" s="3" t="s">
        <v>147</v>
      </c>
      <c r="B18" t="s">
        <v>177</v>
      </c>
      <c r="C18" t="s">
        <v>109</v>
      </c>
      <c r="D18" s="21">
        <v>45306.544421296298</v>
      </c>
      <c r="E18" s="3">
        <v>819</v>
      </c>
      <c r="F18" s="3">
        <v>3</v>
      </c>
      <c r="G18" s="3">
        <v>3</v>
      </c>
      <c r="H18" s="3">
        <v>2</v>
      </c>
      <c r="I18" s="3">
        <v>2</v>
      </c>
      <c r="J18" s="3">
        <v>2</v>
      </c>
      <c r="K18" s="3">
        <v>2</v>
      </c>
      <c r="L18" s="3">
        <v>2</v>
      </c>
      <c r="M18" s="3">
        <v>2</v>
      </c>
      <c r="N18" s="3">
        <v>2</v>
      </c>
      <c r="O18" s="3">
        <v>1</v>
      </c>
      <c r="P18" s="3">
        <v>1</v>
      </c>
      <c r="Q18" s="3">
        <v>2</v>
      </c>
      <c r="R18" s="3">
        <v>2</v>
      </c>
      <c r="S18" s="3">
        <v>2</v>
      </c>
      <c r="T18" s="3">
        <v>1</v>
      </c>
      <c r="U18" s="3">
        <v>2</v>
      </c>
      <c r="V18" s="3">
        <v>4</v>
      </c>
      <c r="W18" s="3">
        <v>2</v>
      </c>
      <c r="X18" s="3">
        <v>4</v>
      </c>
      <c r="Y18" s="3">
        <v>2</v>
      </c>
      <c r="Z18" s="3">
        <v>2</v>
      </c>
      <c r="AA18" s="3">
        <v>3</v>
      </c>
      <c r="AB18" s="3">
        <v>2</v>
      </c>
      <c r="AC18" s="3">
        <v>3</v>
      </c>
      <c r="AD18" s="3">
        <v>3</v>
      </c>
      <c r="AE18" s="3">
        <v>4</v>
      </c>
      <c r="AF18" s="3">
        <v>4</v>
      </c>
      <c r="AG18" s="3">
        <v>4</v>
      </c>
      <c r="AH18" s="3">
        <v>4</v>
      </c>
      <c r="AI18" s="3">
        <v>4</v>
      </c>
      <c r="AJ18" s="3">
        <v>2</v>
      </c>
      <c r="AK18" s="3">
        <v>4</v>
      </c>
      <c r="AL18" s="20" t="s">
        <v>179</v>
      </c>
      <c r="AM18" s="5">
        <v>13</v>
      </c>
      <c r="AN18" s="5">
        <v>23.1</v>
      </c>
      <c r="AO18" s="5">
        <v>7.7</v>
      </c>
      <c r="AP18" s="5">
        <v>7.7</v>
      </c>
      <c r="AQ18" s="5">
        <v>7.6</v>
      </c>
      <c r="AR18" s="5">
        <v>7.7</v>
      </c>
      <c r="AS18" s="5">
        <v>23.1</v>
      </c>
      <c r="AT18" s="5">
        <v>23.1</v>
      </c>
    </row>
    <row r="19" spans="1:46" x14ac:dyDescent="0.35">
      <c r="A19" s="3" t="s">
        <v>148</v>
      </c>
      <c r="B19" t="s">
        <v>176</v>
      </c>
      <c r="C19" t="s">
        <v>108</v>
      </c>
      <c r="D19" s="21">
        <v>45306.728263888886</v>
      </c>
      <c r="E19" s="3">
        <v>567</v>
      </c>
      <c r="F19" s="3">
        <v>1</v>
      </c>
      <c r="G19" s="3">
        <v>3</v>
      </c>
      <c r="H19" s="3">
        <v>2</v>
      </c>
      <c r="I19" s="3">
        <v>1</v>
      </c>
      <c r="J19" s="3">
        <v>1</v>
      </c>
      <c r="K19" s="3">
        <v>2</v>
      </c>
      <c r="L19" s="3">
        <v>1</v>
      </c>
      <c r="M19" s="3">
        <v>1</v>
      </c>
      <c r="N19" s="3">
        <v>1</v>
      </c>
      <c r="O19" s="3">
        <v>2</v>
      </c>
      <c r="P19" s="3">
        <v>2</v>
      </c>
      <c r="Q19" s="3">
        <v>2</v>
      </c>
      <c r="R19" s="3">
        <v>2</v>
      </c>
      <c r="S19" s="3">
        <v>1</v>
      </c>
      <c r="T19" s="3">
        <v>1</v>
      </c>
      <c r="U19" s="3">
        <v>1</v>
      </c>
      <c r="V19" s="3">
        <v>3</v>
      </c>
      <c r="W19" s="3">
        <v>4</v>
      </c>
      <c r="X19" s="3">
        <v>3</v>
      </c>
      <c r="Y19" s="3">
        <v>3</v>
      </c>
      <c r="Z19" s="3">
        <v>3</v>
      </c>
      <c r="AA19" s="3">
        <v>3</v>
      </c>
      <c r="AB19" s="3">
        <v>3</v>
      </c>
      <c r="AC19" s="3">
        <v>3</v>
      </c>
      <c r="AD19" s="3">
        <v>3</v>
      </c>
      <c r="AE19" s="3">
        <v>3</v>
      </c>
      <c r="AF19" s="3">
        <v>3</v>
      </c>
      <c r="AG19" s="3">
        <v>3</v>
      </c>
      <c r="AH19" s="3">
        <v>3</v>
      </c>
      <c r="AI19" s="3">
        <v>3</v>
      </c>
      <c r="AJ19" s="3">
        <v>3</v>
      </c>
      <c r="AK19" s="3">
        <v>3</v>
      </c>
      <c r="AL19" s="20" t="s">
        <v>93</v>
      </c>
      <c r="AM19" s="5">
        <v>12</v>
      </c>
      <c r="AN19" s="5">
        <v>25</v>
      </c>
      <c r="AO19" s="5">
        <v>10</v>
      </c>
      <c r="AP19" s="5">
        <v>10</v>
      </c>
      <c r="AQ19" s="5">
        <v>10</v>
      </c>
      <c r="AR19" s="5">
        <v>10</v>
      </c>
      <c r="AS19" s="5">
        <v>10</v>
      </c>
      <c r="AT19" s="5">
        <v>25</v>
      </c>
    </row>
    <row r="20" spans="1:46" x14ac:dyDescent="0.35">
      <c r="A20" s="3" t="s">
        <v>149</v>
      </c>
      <c r="B20" t="s">
        <v>177</v>
      </c>
      <c r="C20" t="s">
        <v>105</v>
      </c>
      <c r="D20" s="21">
        <v>45306.77207175926</v>
      </c>
      <c r="E20" s="3">
        <v>304</v>
      </c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>
        <v>2</v>
      </c>
      <c r="L20" s="3">
        <v>2</v>
      </c>
      <c r="M20" s="3">
        <v>1</v>
      </c>
      <c r="N20" s="3">
        <v>2</v>
      </c>
      <c r="O20" s="3">
        <v>2</v>
      </c>
      <c r="P20" s="3">
        <v>2</v>
      </c>
      <c r="Q20" s="3">
        <v>2</v>
      </c>
      <c r="R20" s="3">
        <v>2</v>
      </c>
      <c r="S20" s="3">
        <v>2</v>
      </c>
      <c r="T20" s="3">
        <v>2</v>
      </c>
      <c r="U20" s="3">
        <v>3</v>
      </c>
      <c r="V20" s="3">
        <v>4</v>
      </c>
      <c r="W20" s="3">
        <v>4</v>
      </c>
      <c r="X20" s="3">
        <v>4</v>
      </c>
      <c r="Y20" s="3">
        <v>4</v>
      </c>
      <c r="Z20" s="3">
        <v>4</v>
      </c>
      <c r="AA20" s="3">
        <v>4</v>
      </c>
      <c r="AB20" s="3">
        <v>4</v>
      </c>
      <c r="AC20" s="3">
        <v>4</v>
      </c>
      <c r="AD20" s="3">
        <v>3</v>
      </c>
      <c r="AE20" s="3">
        <v>4</v>
      </c>
      <c r="AF20" s="3">
        <v>4</v>
      </c>
      <c r="AG20" s="3">
        <v>4</v>
      </c>
      <c r="AH20" s="3">
        <v>3</v>
      </c>
      <c r="AI20" s="3">
        <v>4</v>
      </c>
      <c r="AJ20" s="3">
        <v>4</v>
      </c>
      <c r="AK20" s="3">
        <v>4</v>
      </c>
      <c r="AL20" s="20" t="s">
        <v>180</v>
      </c>
      <c r="AM20" s="5">
        <v>12</v>
      </c>
      <c r="AN20" s="5">
        <v>20</v>
      </c>
      <c r="AO20" s="5">
        <v>15</v>
      </c>
      <c r="AP20" s="5">
        <v>10</v>
      </c>
      <c r="AQ20" s="5">
        <v>15</v>
      </c>
      <c r="AR20" s="5">
        <v>20</v>
      </c>
      <c r="AS20" s="5">
        <v>0</v>
      </c>
      <c r="AT20" s="5">
        <v>20</v>
      </c>
    </row>
    <row r="21" spans="1:46" x14ac:dyDescent="0.35">
      <c r="A21" s="3" t="s">
        <v>150</v>
      </c>
      <c r="B21" t="s">
        <v>176</v>
      </c>
      <c r="C21" t="s">
        <v>110</v>
      </c>
      <c r="D21" s="21">
        <v>45306.806458333333</v>
      </c>
      <c r="E21" s="3">
        <v>1151</v>
      </c>
      <c r="F21" s="3">
        <v>3</v>
      </c>
      <c r="G21" s="3">
        <v>3</v>
      </c>
      <c r="H21" s="3">
        <v>3</v>
      </c>
      <c r="I21" s="3">
        <v>3</v>
      </c>
      <c r="J21" s="3">
        <v>3</v>
      </c>
      <c r="K21" s="3">
        <v>3</v>
      </c>
      <c r="L21" s="3">
        <v>3</v>
      </c>
      <c r="M21" s="3">
        <v>3</v>
      </c>
      <c r="N21" s="3">
        <v>3</v>
      </c>
      <c r="O21" s="3">
        <v>2</v>
      </c>
      <c r="P21" s="3">
        <v>3</v>
      </c>
      <c r="Q21" s="3">
        <v>3</v>
      </c>
      <c r="R21" s="3">
        <v>2</v>
      </c>
      <c r="S21" s="3">
        <v>3</v>
      </c>
      <c r="T21" s="3">
        <v>2</v>
      </c>
      <c r="U21" s="3">
        <v>3</v>
      </c>
      <c r="V21" s="3">
        <v>3</v>
      </c>
      <c r="W21" s="3">
        <v>3</v>
      </c>
      <c r="X21" s="3">
        <v>3</v>
      </c>
      <c r="Y21" s="3">
        <v>3</v>
      </c>
      <c r="Z21" s="3">
        <v>3</v>
      </c>
      <c r="AA21" s="3">
        <v>3</v>
      </c>
      <c r="AB21" s="3">
        <v>3</v>
      </c>
      <c r="AC21" s="3">
        <v>3</v>
      </c>
      <c r="AD21" s="3">
        <v>3</v>
      </c>
      <c r="AE21" s="3">
        <v>4</v>
      </c>
      <c r="AF21" s="3">
        <v>3</v>
      </c>
      <c r="AG21" s="3">
        <v>3</v>
      </c>
      <c r="AH21" s="3">
        <v>4</v>
      </c>
      <c r="AI21" s="3">
        <v>3</v>
      </c>
      <c r="AJ21" s="3">
        <v>4</v>
      </c>
      <c r="AK21" s="3">
        <v>3</v>
      </c>
      <c r="AL21" s="20" t="s">
        <v>119</v>
      </c>
      <c r="AM21" s="5">
        <v>14</v>
      </c>
      <c r="AN21" s="5">
        <v>0</v>
      </c>
      <c r="AO21" s="5">
        <v>25</v>
      </c>
      <c r="AP21" s="5">
        <v>25</v>
      </c>
      <c r="AQ21" s="5">
        <v>25</v>
      </c>
      <c r="AR21" s="5">
        <v>25</v>
      </c>
      <c r="AS21" s="5">
        <v>0</v>
      </c>
      <c r="AT21" s="5">
        <v>0</v>
      </c>
    </row>
    <row r="22" spans="1:46" x14ac:dyDescent="0.35">
      <c r="A22" s="3" t="s">
        <v>151</v>
      </c>
      <c r="B22" t="s">
        <v>177</v>
      </c>
      <c r="C22" t="s">
        <v>105</v>
      </c>
      <c r="D22" s="21">
        <v>45306.80878472222</v>
      </c>
      <c r="E22" s="3">
        <v>393</v>
      </c>
      <c r="F22" s="3">
        <v>2</v>
      </c>
      <c r="G22" s="3">
        <v>3</v>
      </c>
      <c r="H22" s="3">
        <v>3</v>
      </c>
      <c r="I22" s="3">
        <v>2</v>
      </c>
      <c r="J22" s="3">
        <v>2</v>
      </c>
      <c r="K22" s="3">
        <v>4</v>
      </c>
      <c r="L22" s="3">
        <v>2</v>
      </c>
      <c r="M22" s="3">
        <v>2</v>
      </c>
      <c r="N22" s="3">
        <v>3</v>
      </c>
      <c r="O22" s="3">
        <v>3</v>
      </c>
      <c r="P22" s="3">
        <v>2</v>
      </c>
      <c r="Q22" s="3">
        <v>3</v>
      </c>
      <c r="R22" s="3">
        <v>3</v>
      </c>
      <c r="S22" s="3">
        <v>2</v>
      </c>
      <c r="T22" s="3">
        <v>2</v>
      </c>
      <c r="U22" s="3">
        <v>2</v>
      </c>
      <c r="V22" s="3">
        <v>3</v>
      </c>
      <c r="W22" s="3">
        <v>4</v>
      </c>
      <c r="X22" s="3">
        <v>4</v>
      </c>
      <c r="Y22" s="3">
        <v>3</v>
      </c>
      <c r="Z22" s="3">
        <v>2</v>
      </c>
      <c r="AA22" s="3">
        <v>3</v>
      </c>
      <c r="AB22" s="3">
        <v>2</v>
      </c>
      <c r="AC22" s="3">
        <v>3</v>
      </c>
      <c r="AD22" s="3">
        <v>4</v>
      </c>
      <c r="AE22" s="3">
        <v>4</v>
      </c>
      <c r="AF22" s="3">
        <v>3</v>
      </c>
      <c r="AG22" s="3">
        <v>4</v>
      </c>
      <c r="AH22" s="3">
        <v>2</v>
      </c>
      <c r="AI22" s="3">
        <v>3</v>
      </c>
      <c r="AJ22" s="3">
        <v>4</v>
      </c>
      <c r="AK22" s="3">
        <v>4</v>
      </c>
      <c r="AL22" s="20" t="s">
        <v>93</v>
      </c>
      <c r="AM22" s="5">
        <v>12</v>
      </c>
      <c r="AN22" s="5">
        <v>0</v>
      </c>
      <c r="AO22" s="5">
        <v>0</v>
      </c>
      <c r="AP22" s="5">
        <v>25</v>
      </c>
      <c r="AQ22" s="5">
        <v>25</v>
      </c>
      <c r="AR22" s="5">
        <v>25</v>
      </c>
      <c r="AS22" s="5">
        <v>25</v>
      </c>
      <c r="AT22" s="5">
        <v>0</v>
      </c>
    </row>
    <row r="23" spans="1:46" x14ac:dyDescent="0.35">
      <c r="A23" s="3" t="s">
        <v>152</v>
      </c>
      <c r="B23" t="s">
        <v>177</v>
      </c>
      <c r="C23" t="s">
        <v>105</v>
      </c>
      <c r="D23" s="21">
        <v>45306.827002314814</v>
      </c>
      <c r="E23" s="3">
        <v>1661</v>
      </c>
      <c r="F23" s="3">
        <v>2</v>
      </c>
      <c r="G23" s="3">
        <v>3</v>
      </c>
      <c r="H23" s="3">
        <v>3</v>
      </c>
      <c r="I23" s="3">
        <v>2</v>
      </c>
      <c r="J23" s="3">
        <v>2</v>
      </c>
      <c r="K23" s="3">
        <v>2</v>
      </c>
      <c r="L23" s="3">
        <v>3</v>
      </c>
      <c r="M23" s="3">
        <v>3</v>
      </c>
      <c r="N23" s="3">
        <v>3</v>
      </c>
      <c r="O23" s="3">
        <v>2</v>
      </c>
      <c r="P23" s="3">
        <v>2</v>
      </c>
      <c r="Q23" s="3">
        <v>2</v>
      </c>
      <c r="R23" s="3">
        <v>2</v>
      </c>
      <c r="S23" s="3">
        <v>3</v>
      </c>
      <c r="T23" s="3">
        <v>2</v>
      </c>
      <c r="U23" s="3">
        <v>3</v>
      </c>
      <c r="V23" s="3">
        <v>3</v>
      </c>
      <c r="W23" s="3">
        <v>4</v>
      </c>
      <c r="X23" s="3">
        <v>4</v>
      </c>
      <c r="Y23" s="3">
        <v>3</v>
      </c>
      <c r="Z23" s="3">
        <v>4</v>
      </c>
      <c r="AA23" s="3">
        <v>4</v>
      </c>
      <c r="AB23" s="3">
        <v>4</v>
      </c>
      <c r="AC23" s="3">
        <v>3</v>
      </c>
      <c r="AD23" s="3">
        <v>4</v>
      </c>
      <c r="AE23" s="3">
        <v>3</v>
      </c>
      <c r="AF23" s="3">
        <v>3</v>
      </c>
      <c r="AG23" s="3">
        <v>3</v>
      </c>
      <c r="AH23" s="3">
        <v>3</v>
      </c>
      <c r="AI23" s="3">
        <v>4</v>
      </c>
      <c r="AJ23" s="3">
        <v>3</v>
      </c>
      <c r="AK23" s="3">
        <v>4</v>
      </c>
      <c r="AL23" s="20" t="s">
        <v>181</v>
      </c>
      <c r="AM23" s="5">
        <v>12</v>
      </c>
      <c r="AN23" s="5">
        <v>25</v>
      </c>
      <c r="AO23" s="5">
        <v>12</v>
      </c>
      <c r="AP23" s="5">
        <v>12</v>
      </c>
      <c r="AQ23" s="5">
        <v>12</v>
      </c>
      <c r="AR23" s="5">
        <v>12</v>
      </c>
      <c r="AS23" s="5">
        <v>12</v>
      </c>
      <c r="AT23" s="5">
        <v>15</v>
      </c>
    </row>
    <row r="24" spans="1:46" x14ac:dyDescent="0.35">
      <c r="A24" s="3" t="s">
        <v>153</v>
      </c>
      <c r="B24" t="s">
        <v>176</v>
      </c>
      <c r="C24" t="s">
        <v>110</v>
      </c>
      <c r="D24" s="21">
        <v>45307.462337962963</v>
      </c>
      <c r="E24" s="3">
        <v>499</v>
      </c>
      <c r="F24" s="3">
        <v>1</v>
      </c>
      <c r="G24" s="3">
        <v>2</v>
      </c>
      <c r="H24" s="3">
        <v>2</v>
      </c>
      <c r="I24" s="3">
        <v>2</v>
      </c>
      <c r="J24" s="3">
        <v>1</v>
      </c>
      <c r="K24" s="3">
        <v>2</v>
      </c>
      <c r="L24" s="3">
        <v>1</v>
      </c>
      <c r="M24" s="3">
        <v>1</v>
      </c>
      <c r="N24" s="3">
        <v>2</v>
      </c>
      <c r="O24" s="3">
        <v>1</v>
      </c>
      <c r="P24" s="3">
        <v>1</v>
      </c>
      <c r="Q24" s="3">
        <v>2</v>
      </c>
      <c r="R24" s="3">
        <v>1</v>
      </c>
      <c r="S24" s="3">
        <v>1</v>
      </c>
      <c r="T24" s="3">
        <v>1</v>
      </c>
      <c r="U24" s="3">
        <v>1</v>
      </c>
      <c r="V24" s="3">
        <v>3</v>
      </c>
      <c r="W24" s="3">
        <v>3</v>
      </c>
      <c r="X24" s="3">
        <v>3</v>
      </c>
      <c r="Y24" s="3">
        <v>3</v>
      </c>
      <c r="Z24" s="3">
        <v>3</v>
      </c>
      <c r="AA24" s="3">
        <v>3</v>
      </c>
      <c r="AB24" s="3">
        <v>3</v>
      </c>
      <c r="AC24" s="3">
        <v>3</v>
      </c>
      <c r="AD24" s="3">
        <v>3</v>
      </c>
      <c r="AE24" s="3">
        <v>3</v>
      </c>
      <c r="AF24" s="3">
        <v>3</v>
      </c>
      <c r="AG24" s="3">
        <v>3</v>
      </c>
      <c r="AH24" s="3">
        <v>3</v>
      </c>
      <c r="AI24" s="3">
        <v>3</v>
      </c>
      <c r="AJ24" s="3">
        <v>3</v>
      </c>
      <c r="AK24" s="3">
        <v>3</v>
      </c>
      <c r="AL24" s="20" t="s">
        <v>92</v>
      </c>
      <c r="AM24" s="5">
        <v>12</v>
      </c>
      <c r="AN24" s="5">
        <v>0</v>
      </c>
      <c r="AO24" s="5">
        <v>20</v>
      </c>
      <c r="AP24" s="5">
        <v>20</v>
      </c>
      <c r="AQ24" s="5">
        <v>20</v>
      </c>
      <c r="AR24" s="5">
        <v>20</v>
      </c>
      <c r="AS24" s="5">
        <v>20</v>
      </c>
      <c r="AT24" s="5">
        <v>0</v>
      </c>
    </row>
    <row r="25" spans="1:46" x14ac:dyDescent="0.35">
      <c r="A25" s="3" t="s">
        <v>154</v>
      </c>
      <c r="B25" t="s">
        <v>176</v>
      </c>
      <c r="C25" t="s">
        <v>107</v>
      </c>
      <c r="D25" s="21">
        <v>45307.586435185185</v>
      </c>
      <c r="E25" s="3">
        <v>328</v>
      </c>
      <c r="F25" s="3">
        <v>2</v>
      </c>
      <c r="G25" s="3">
        <v>2</v>
      </c>
      <c r="H25" s="3">
        <v>2</v>
      </c>
      <c r="I25" s="3">
        <v>1</v>
      </c>
      <c r="J25" s="3">
        <v>2</v>
      </c>
      <c r="K25" s="3">
        <v>2</v>
      </c>
      <c r="L25" s="3">
        <v>1</v>
      </c>
      <c r="M25" s="3">
        <v>2</v>
      </c>
      <c r="N25" s="3">
        <v>2</v>
      </c>
      <c r="O25" s="3">
        <v>2</v>
      </c>
      <c r="P25" s="3">
        <v>2</v>
      </c>
      <c r="Q25" s="3">
        <v>2</v>
      </c>
      <c r="R25" s="3">
        <v>1</v>
      </c>
      <c r="S25" s="3">
        <v>2</v>
      </c>
      <c r="T25" s="3">
        <v>2</v>
      </c>
      <c r="U25" s="3">
        <v>2</v>
      </c>
      <c r="V25" s="3">
        <v>3</v>
      </c>
      <c r="W25" s="3">
        <v>3</v>
      </c>
      <c r="X25" s="3">
        <v>3</v>
      </c>
      <c r="Y25" s="3">
        <v>3</v>
      </c>
      <c r="Z25" s="3">
        <v>3</v>
      </c>
      <c r="AA25" s="3">
        <v>3</v>
      </c>
      <c r="AB25" s="3">
        <v>3</v>
      </c>
      <c r="AC25" s="3">
        <v>3</v>
      </c>
      <c r="AD25" s="3">
        <v>3</v>
      </c>
      <c r="AE25" s="3">
        <v>3</v>
      </c>
      <c r="AF25" s="3">
        <v>3</v>
      </c>
      <c r="AG25" s="3">
        <v>3</v>
      </c>
      <c r="AH25" s="3">
        <v>3</v>
      </c>
      <c r="AI25" s="3">
        <v>3</v>
      </c>
      <c r="AJ25" s="3">
        <v>3</v>
      </c>
      <c r="AK25" s="3">
        <v>3</v>
      </c>
      <c r="AL25" s="20">
        <v>13</v>
      </c>
      <c r="AM25" s="5">
        <v>12</v>
      </c>
      <c r="AN25" s="5">
        <v>41</v>
      </c>
      <c r="AO25" s="5">
        <v>0</v>
      </c>
      <c r="AP25" s="5">
        <v>0</v>
      </c>
      <c r="AQ25" s="5">
        <v>9</v>
      </c>
      <c r="AR25" s="5">
        <v>0</v>
      </c>
      <c r="AS25" s="5">
        <v>9</v>
      </c>
      <c r="AT25" s="5">
        <v>41</v>
      </c>
    </row>
    <row r="26" spans="1:46" x14ac:dyDescent="0.35">
      <c r="A26" s="3" t="s">
        <v>155</v>
      </c>
      <c r="B26" t="s">
        <v>177</v>
      </c>
      <c r="C26" t="s">
        <v>109</v>
      </c>
      <c r="D26" s="21">
        <v>45307.658252314817</v>
      </c>
      <c r="E26" s="3">
        <v>334</v>
      </c>
      <c r="F26" s="3">
        <v>1</v>
      </c>
      <c r="G26" s="3">
        <v>3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2</v>
      </c>
      <c r="P26" s="3">
        <v>3</v>
      </c>
      <c r="Q26" s="3">
        <v>3</v>
      </c>
      <c r="R26" s="3">
        <v>2</v>
      </c>
      <c r="S26" s="3">
        <v>1</v>
      </c>
      <c r="T26" s="3">
        <v>1</v>
      </c>
      <c r="U26" s="3">
        <v>1</v>
      </c>
      <c r="V26" s="3">
        <v>3</v>
      </c>
      <c r="W26" s="3">
        <v>4</v>
      </c>
      <c r="X26" s="3">
        <v>4</v>
      </c>
      <c r="Y26" s="3">
        <v>2</v>
      </c>
      <c r="Z26" s="3">
        <v>2</v>
      </c>
      <c r="AA26" s="3">
        <v>2</v>
      </c>
      <c r="AB26" s="3">
        <v>2</v>
      </c>
      <c r="AC26" s="3">
        <v>2</v>
      </c>
      <c r="AD26" s="3">
        <v>3</v>
      </c>
      <c r="AE26" s="3">
        <v>4</v>
      </c>
      <c r="AF26" s="3">
        <v>3</v>
      </c>
      <c r="AG26" s="3">
        <v>4</v>
      </c>
      <c r="AH26" s="3">
        <v>4</v>
      </c>
      <c r="AI26" s="3">
        <v>3</v>
      </c>
      <c r="AJ26" s="3">
        <v>3</v>
      </c>
      <c r="AK26" s="3">
        <v>3</v>
      </c>
      <c r="AL26" s="20" t="s">
        <v>182</v>
      </c>
      <c r="AM26" s="5">
        <v>15</v>
      </c>
      <c r="AN26" s="5">
        <v>25</v>
      </c>
      <c r="AO26" s="5">
        <v>10</v>
      </c>
      <c r="AP26" s="5">
        <v>10</v>
      </c>
      <c r="AQ26" s="5">
        <v>10</v>
      </c>
      <c r="AR26" s="5">
        <v>10</v>
      </c>
      <c r="AS26" s="5">
        <v>10</v>
      </c>
      <c r="AT26" s="5">
        <v>25</v>
      </c>
    </row>
    <row r="27" spans="1:46" x14ac:dyDescent="0.35">
      <c r="A27" s="3" t="s">
        <v>156</v>
      </c>
      <c r="B27" t="s">
        <v>177</v>
      </c>
      <c r="C27" t="s">
        <v>105</v>
      </c>
      <c r="D27" s="21">
        <v>45307.722754629627</v>
      </c>
      <c r="E27" s="3">
        <v>283</v>
      </c>
      <c r="F27" s="3">
        <v>1</v>
      </c>
      <c r="G27" s="3">
        <v>2</v>
      </c>
      <c r="H27" s="3">
        <v>1</v>
      </c>
      <c r="I27" s="3">
        <v>1</v>
      </c>
      <c r="J27" s="3">
        <v>1</v>
      </c>
      <c r="K27" s="3">
        <v>2</v>
      </c>
      <c r="L27" s="3">
        <v>2</v>
      </c>
      <c r="M27" s="3">
        <v>1</v>
      </c>
      <c r="N27" s="3">
        <v>2</v>
      </c>
      <c r="O27" s="3">
        <v>1</v>
      </c>
      <c r="P27" s="3">
        <v>2</v>
      </c>
      <c r="Q27" s="3">
        <v>2</v>
      </c>
      <c r="R27" s="3">
        <v>2</v>
      </c>
      <c r="S27" s="3">
        <v>1</v>
      </c>
      <c r="T27" s="3">
        <v>1</v>
      </c>
      <c r="U27" s="3">
        <v>2</v>
      </c>
      <c r="V27" s="3">
        <v>3</v>
      </c>
      <c r="W27" s="3">
        <v>4</v>
      </c>
      <c r="X27" s="3">
        <v>3</v>
      </c>
      <c r="Y27" s="3">
        <v>3</v>
      </c>
      <c r="Z27" s="3">
        <v>3</v>
      </c>
      <c r="AA27" s="3">
        <v>3</v>
      </c>
      <c r="AB27" s="3">
        <v>3</v>
      </c>
      <c r="AC27" s="3">
        <v>3</v>
      </c>
      <c r="AD27" s="3">
        <v>3</v>
      </c>
      <c r="AE27" s="3">
        <v>3</v>
      </c>
      <c r="AF27" s="3">
        <v>3</v>
      </c>
      <c r="AG27" s="3">
        <v>4</v>
      </c>
      <c r="AH27" s="3">
        <v>4</v>
      </c>
      <c r="AI27" s="3">
        <v>3</v>
      </c>
      <c r="AJ27" s="3">
        <v>3</v>
      </c>
      <c r="AK27" s="3">
        <v>3</v>
      </c>
      <c r="AL27" s="20" t="s">
        <v>183</v>
      </c>
      <c r="AM27" s="5">
        <v>12</v>
      </c>
      <c r="AN27" s="5">
        <v>35</v>
      </c>
      <c r="AO27" s="5">
        <v>15</v>
      </c>
      <c r="AP27" s="5">
        <v>0</v>
      </c>
      <c r="AQ27" s="5">
        <v>0</v>
      </c>
      <c r="AR27" s="5">
        <v>0</v>
      </c>
      <c r="AS27" s="5">
        <v>15</v>
      </c>
      <c r="AT27" s="5">
        <v>35</v>
      </c>
    </row>
    <row r="28" spans="1:46" x14ac:dyDescent="0.35">
      <c r="A28" s="3" t="s">
        <v>157</v>
      </c>
      <c r="B28" t="s">
        <v>176</v>
      </c>
      <c r="C28" t="s">
        <v>110</v>
      </c>
      <c r="D28" s="21">
        <v>45307.768784722219</v>
      </c>
      <c r="E28" s="3">
        <v>304</v>
      </c>
      <c r="F28" s="3">
        <v>2</v>
      </c>
      <c r="G28" s="3">
        <v>4</v>
      </c>
      <c r="H28" s="3">
        <v>3</v>
      </c>
      <c r="I28" s="3">
        <v>3</v>
      </c>
      <c r="J28" s="3">
        <v>3</v>
      </c>
      <c r="K28" s="3">
        <v>3</v>
      </c>
      <c r="L28" s="3">
        <v>3</v>
      </c>
      <c r="M28" s="3">
        <v>2</v>
      </c>
      <c r="N28" s="3">
        <v>4</v>
      </c>
      <c r="O28" s="3">
        <v>3</v>
      </c>
      <c r="P28" s="3">
        <v>3</v>
      </c>
      <c r="Q28" s="3">
        <v>3</v>
      </c>
      <c r="R28" s="3">
        <v>3</v>
      </c>
      <c r="S28" s="3">
        <v>2</v>
      </c>
      <c r="T28" s="3">
        <v>1</v>
      </c>
      <c r="U28" s="3">
        <v>2</v>
      </c>
      <c r="V28" s="3">
        <v>3</v>
      </c>
      <c r="W28" s="3">
        <v>2</v>
      </c>
      <c r="X28" s="3">
        <v>4</v>
      </c>
      <c r="Y28" s="3">
        <v>3</v>
      </c>
      <c r="Z28" s="3">
        <v>3</v>
      </c>
      <c r="AA28" s="3">
        <v>3</v>
      </c>
      <c r="AB28" s="3">
        <v>3</v>
      </c>
      <c r="AC28" s="3">
        <v>4</v>
      </c>
      <c r="AD28" s="3">
        <v>2</v>
      </c>
      <c r="AE28" s="3">
        <v>4</v>
      </c>
      <c r="AF28" s="3">
        <v>4</v>
      </c>
      <c r="AG28" s="3">
        <v>4</v>
      </c>
      <c r="AH28" s="3">
        <v>4</v>
      </c>
      <c r="AI28" s="3">
        <v>3</v>
      </c>
      <c r="AJ28" s="3">
        <v>2</v>
      </c>
      <c r="AK28" s="3">
        <v>3</v>
      </c>
      <c r="AL28" s="20" t="s">
        <v>184</v>
      </c>
      <c r="AM28" s="5">
        <v>12</v>
      </c>
      <c r="AN28" s="5">
        <v>0</v>
      </c>
      <c r="AO28" s="5">
        <v>10</v>
      </c>
      <c r="AP28" s="5">
        <v>10</v>
      </c>
      <c r="AQ28" s="5">
        <v>10</v>
      </c>
      <c r="AR28" s="5">
        <v>10</v>
      </c>
      <c r="AS28" s="5">
        <v>30</v>
      </c>
      <c r="AT28" s="5">
        <v>30</v>
      </c>
    </row>
    <row r="29" spans="1:46" x14ac:dyDescent="0.35">
      <c r="A29" s="3" t="s">
        <v>158</v>
      </c>
      <c r="B29" t="s">
        <v>176</v>
      </c>
      <c r="C29" t="s">
        <v>108</v>
      </c>
      <c r="D29" s="21">
        <v>45307.773206018515</v>
      </c>
      <c r="E29" s="3">
        <v>1045</v>
      </c>
      <c r="F29" s="3">
        <v>2</v>
      </c>
      <c r="G29" s="3">
        <v>3</v>
      </c>
      <c r="H29" s="3">
        <v>2</v>
      </c>
      <c r="I29" s="3">
        <v>3</v>
      </c>
      <c r="J29" s="3">
        <v>2</v>
      </c>
      <c r="K29" s="3">
        <v>3</v>
      </c>
      <c r="L29" s="3">
        <v>2</v>
      </c>
      <c r="M29" s="3">
        <v>3</v>
      </c>
      <c r="N29" s="3">
        <v>2</v>
      </c>
      <c r="O29" s="3">
        <v>2</v>
      </c>
      <c r="P29" s="3">
        <v>2</v>
      </c>
      <c r="Q29" s="3">
        <v>3</v>
      </c>
      <c r="R29" s="3">
        <v>3</v>
      </c>
      <c r="S29" s="3">
        <v>2</v>
      </c>
      <c r="T29" s="3">
        <v>2</v>
      </c>
      <c r="U29" s="3">
        <v>2</v>
      </c>
      <c r="V29" s="3">
        <v>4</v>
      </c>
      <c r="W29" s="3">
        <v>4</v>
      </c>
      <c r="X29" s="3">
        <v>4</v>
      </c>
      <c r="Y29" s="3">
        <v>4</v>
      </c>
      <c r="Z29" s="3">
        <v>4</v>
      </c>
      <c r="AA29" s="3">
        <v>4</v>
      </c>
      <c r="AB29" s="3">
        <v>4</v>
      </c>
      <c r="AC29" s="3">
        <v>4</v>
      </c>
      <c r="AD29" s="3">
        <v>4</v>
      </c>
      <c r="AE29" s="3">
        <v>4</v>
      </c>
      <c r="AF29" s="3">
        <v>4</v>
      </c>
      <c r="AG29" s="3">
        <v>4</v>
      </c>
      <c r="AH29" s="3">
        <v>4</v>
      </c>
      <c r="AI29" s="3">
        <v>4</v>
      </c>
      <c r="AJ29" s="3">
        <v>4</v>
      </c>
      <c r="AK29" s="3">
        <v>4</v>
      </c>
      <c r="AL29" s="20" t="s">
        <v>185</v>
      </c>
      <c r="AM29" s="5">
        <v>12</v>
      </c>
      <c r="AN29" s="5">
        <v>25</v>
      </c>
      <c r="AO29" s="5">
        <v>13</v>
      </c>
      <c r="AP29" s="5">
        <v>13</v>
      </c>
      <c r="AQ29" s="5">
        <v>12</v>
      </c>
      <c r="AR29" s="5">
        <v>12</v>
      </c>
      <c r="AS29" s="5">
        <v>0</v>
      </c>
      <c r="AT29" s="5">
        <v>25</v>
      </c>
    </row>
    <row r="30" spans="1:46" x14ac:dyDescent="0.35">
      <c r="A30" s="3" t="s">
        <v>159</v>
      </c>
      <c r="B30" t="s">
        <v>176</v>
      </c>
      <c r="C30" t="s">
        <v>105</v>
      </c>
      <c r="D30" s="21">
        <v>45307.787962962961</v>
      </c>
      <c r="E30" s="3">
        <v>239</v>
      </c>
      <c r="F30" s="3">
        <v>4</v>
      </c>
      <c r="G30" s="3">
        <v>4</v>
      </c>
      <c r="H30" s="3">
        <v>3</v>
      </c>
      <c r="I30" s="3">
        <v>2</v>
      </c>
      <c r="J30" s="3">
        <v>3</v>
      </c>
      <c r="K30" s="3">
        <v>3</v>
      </c>
      <c r="L30" s="3">
        <v>2</v>
      </c>
      <c r="M30" s="3">
        <v>2</v>
      </c>
      <c r="N30" s="3">
        <v>3</v>
      </c>
      <c r="O30" s="3">
        <v>4</v>
      </c>
      <c r="P30" s="3">
        <v>4</v>
      </c>
      <c r="Q30" s="3">
        <v>4</v>
      </c>
      <c r="R30" s="3">
        <v>4</v>
      </c>
      <c r="S30" s="3">
        <v>3</v>
      </c>
      <c r="T30" s="3">
        <v>2</v>
      </c>
      <c r="U30" s="3">
        <v>3</v>
      </c>
      <c r="V30" s="3">
        <v>4</v>
      </c>
      <c r="W30" s="3">
        <v>4</v>
      </c>
      <c r="X30" s="3">
        <v>3</v>
      </c>
      <c r="Y30" s="3">
        <v>3</v>
      </c>
      <c r="Z30" s="3">
        <v>3</v>
      </c>
      <c r="AA30" s="3">
        <v>4</v>
      </c>
      <c r="AB30" s="3">
        <v>3</v>
      </c>
      <c r="AC30" s="3">
        <v>3</v>
      </c>
      <c r="AD30" s="3">
        <v>4</v>
      </c>
      <c r="AE30" s="3">
        <v>4</v>
      </c>
      <c r="AF30" s="3">
        <v>4</v>
      </c>
      <c r="AG30" s="3">
        <v>4</v>
      </c>
      <c r="AH30" s="3">
        <v>4</v>
      </c>
      <c r="AI30" s="3">
        <v>4</v>
      </c>
      <c r="AJ30" s="3">
        <v>3</v>
      </c>
      <c r="AK30" s="3">
        <v>4</v>
      </c>
      <c r="AL30" s="20" t="s">
        <v>186</v>
      </c>
      <c r="AM30" s="5">
        <v>12</v>
      </c>
      <c r="AN30" s="5">
        <v>25</v>
      </c>
      <c r="AO30" s="5">
        <v>10</v>
      </c>
      <c r="AP30" s="5">
        <v>10</v>
      </c>
      <c r="AQ30" s="5">
        <v>10</v>
      </c>
      <c r="AR30" s="5">
        <v>10</v>
      </c>
      <c r="AS30" s="5">
        <v>10</v>
      </c>
      <c r="AT30" s="5">
        <v>25</v>
      </c>
    </row>
    <row r="31" spans="1:46" x14ac:dyDescent="0.35">
      <c r="A31" s="3" t="s">
        <v>160</v>
      </c>
      <c r="B31" t="s">
        <v>176</v>
      </c>
      <c r="C31" t="s">
        <v>110</v>
      </c>
      <c r="D31" s="21">
        <v>45307.842951388891</v>
      </c>
      <c r="E31" s="3">
        <v>264</v>
      </c>
      <c r="F31" s="3">
        <v>2</v>
      </c>
      <c r="G31" s="3">
        <v>2</v>
      </c>
      <c r="H31" s="3">
        <v>2</v>
      </c>
      <c r="I31" s="3">
        <v>1</v>
      </c>
      <c r="J31" s="3">
        <v>2</v>
      </c>
      <c r="K31" s="3">
        <v>2</v>
      </c>
      <c r="L31" s="3">
        <v>2</v>
      </c>
      <c r="M31" s="3">
        <v>1</v>
      </c>
      <c r="N31" s="3">
        <v>2</v>
      </c>
      <c r="O31" s="3">
        <v>2</v>
      </c>
      <c r="P31" s="3">
        <v>2</v>
      </c>
      <c r="Q31" s="3">
        <v>2</v>
      </c>
      <c r="R31" s="3">
        <v>1</v>
      </c>
      <c r="S31" s="3">
        <v>2</v>
      </c>
      <c r="T31" s="3">
        <v>1</v>
      </c>
      <c r="U31" s="3">
        <v>1</v>
      </c>
      <c r="V31" s="3">
        <v>3</v>
      </c>
      <c r="W31" s="3">
        <v>3</v>
      </c>
      <c r="X31" s="3">
        <v>4</v>
      </c>
      <c r="Y31" s="3">
        <v>3</v>
      </c>
      <c r="Z31" s="3">
        <v>3</v>
      </c>
      <c r="AA31" s="3">
        <v>3</v>
      </c>
      <c r="AB31" s="3">
        <v>2</v>
      </c>
      <c r="AC31" s="3">
        <v>2</v>
      </c>
      <c r="AD31" s="3">
        <v>2</v>
      </c>
      <c r="AE31" s="3">
        <v>3</v>
      </c>
      <c r="AF31" s="3">
        <v>3</v>
      </c>
      <c r="AG31" s="3">
        <v>4</v>
      </c>
      <c r="AH31" s="3">
        <v>4</v>
      </c>
      <c r="AI31" s="3">
        <v>2</v>
      </c>
      <c r="AJ31" s="3">
        <v>2</v>
      </c>
      <c r="AK31" s="3">
        <v>2</v>
      </c>
      <c r="AL31" s="20" t="s">
        <v>94</v>
      </c>
      <c r="AM31" s="5">
        <v>12</v>
      </c>
      <c r="AN31" s="5">
        <v>25</v>
      </c>
      <c r="AO31" s="5">
        <v>10</v>
      </c>
      <c r="AP31" s="5">
        <v>10</v>
      </c>
      <c r="AQ31" s="5">
        <v>10</v>
      </c>
      <c r="AR31" s="5">
        <v>10</v>
      </c>
      <c r="AS31" s="5">
        <v>10</v>
      </c>
      <c r="AT31" s="5">
        <v>25</v>
      </c>
    </row>
    <row r="32" spans="1:46" x14ac:dyDescent="0.35">
      <c r="A32" s="3" t="s">
        <v>161</v>
      </c>
      <c r="B32" t="s">
        <v>177</v>
      </c>
      <c r="C32" t="s">
        <v>107</v>
      </c>
      <c r="D32" s="21">
        <v>45307.894745370373</v>
      </c>
      <c r="E32" s="3">
        <v>614</v>
      </c>
      <c r="F32" s="3">
        <v>2</v>
      </c>
      <c r="G32" s="3">
        <v>3</v>
      </c>
      <c r="H32" s="3">
        <v>2</v>
      </c>
      <c r="I32" s="3">
        <v>2</v>
      </c>
      <c r="J32" s="3">
        <v>1</v>
      </c>
      <c r="K32" s="3">
        <v>2</v>
      </c>
      <c r="L32" s="3">
        <v>2</v>
      </c>
      <c r="M32" s="3">
        <v>2</v>
      </c>
      <c r="N32" s="3">
        <v>2</v>
      </c>
      <c r="O32" s="3">
        <v>3</v>
      </c>
      <c r="P32" s="3">
        <v>1</v>
      </c>
      <c r="Q32" s="3">
        <v>3</v>
      </c>
      <c r="R32" s="3">
        <v>1</v>
      </c>
      <c r="S32" s="3">
        <v>2</v>
      </c>
      <c r="T32" s="3">
        <v>3</v>
      </c>
      <c r="U32" s="3">
        <v>2</v>
      </c>
      <c r="V32" s="3">
        <v>4</v>
      </c>
      <c r="W32" s="3">
        <v>3</v>
      </c>
      <c r="X32" s="3">
        <v>4</v>
      </c>
      <c r="Y32" s="3">
        <v>4</v>
      </c>
      <c r="Z32" s="3">
        <v>2</v>
      </c>
      <c r="AA32" s="3">
        <v>2</v>
      </c>
      <c r="AB32" s="3">
        <v>2</v>
      </c>
      <c r="AC32" s="3">
        <v>2</v>
      </c>
      <c r="AD32" s="3">
        <v>4</v>
      </c>
      <c r="AE32" s="3">
        <v>4</v>
      </c>
      <c r="AF32" s="3">
        <v>2</v>
      </c>
      <c r="AG32" s="3">
        <v>4</v>
      </c>
      <c r="AH32" s="3">
        <v>4</v>
      </c>
      <c r="AI32" s="3">
        <v>3</v>
      </c>
      <c r="AJ32" s="3">
        <v>4</v>
      </c>
      <c r="AK32" s="3">
        <v>2</v>
      </c>
      <c r="AL32" s="20" t="s">
        <v>187</v>
      </c>
      <c r="AM32" s="5">
        <v>12</v>
      </c>
      <c r="AN32" s="5">
        <v>25</v>
      </c>
      <c r="AO32" s="5">
        <v>20</v>
      </c>
      <c r="AP32" s="5">
        <v>0</v>
      </c>
      <c r="AQ32" s="5">
        <v>0</v>
      </c>
      <c r="AR32" s="5">
        <v>0</v>
      </c>
      <c r="AS32" s="5">
        <v>30</v>
      </c>
      <c r="AT32" s="5">
        <v>25</v>
      </c>
    </row>
    <row r="33" spans="1:46" x14ac:dyDescent="0.35">
      <c r="A33" s="3" t="s">
        <v>162</v>
      </c>
      <c r="B33" t="s">
        <v>176</v>
      </c>
      <c r="C33" t="s">
        <v>107</v>
      </c>
      <c r="D33" s="21">
        <v>45307.99659722222</v>
      </c>
      <c r="E33" s="3">
        <v>1214</v>
      </c>
      <c r="F33" s="3">
        <v>2</v>
      </c>
      <c r="G33" s="3">
        <v>3</v>
      </c>
      <c r="H33" s="3">
        <v>2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2</v>
      </c>
      <c r="Q33" s="3">
        <v>2</v>
      </c>
      <c r="R33" s="3">
        <v>1</v>
      </c>
      <c r="S33" s="3">
        <v>1</v>
      </c>
      <c r="T33" s="3">
        <v>1</v>
      </c>
      <c r="U33" s="3">
        <v>1</v>
      </c>
      <c r="V33" s="3">
        <v>3</v>
      </c>
      <c r="W33" s="3">
        <v>4</v>
      </c>
      <c r="X33" s="3">
        <v>3</v>
      </c>
      <c r="Y33" s="3">
        <v>2</v>
      </c>
      <c r="Z33" s="3">
        <v>2</v>
      </c>
      <c r="AA33" s="3">
        <v>2</v>
      </c>
      <c r="AB33" s="3">
        <v>2</v>
      </c>
      <c r="AC33" s="3">
        <v>2</v>
      </c>
      <c r="AD33" s="3">
        <v>2</v>
      </c>
      <c r="AE33" s="3">
        <v>2</v>
      </c>
      <c r="AF33" s="3">
        <v>3</v>
      </c>
      <c r="AG33" s="3">
        <v>3</v>
      </c>
      <c r="AH33" s="3">
        <v>2</v>
      </c>
      <c r="AI33" s="3">
        <v>2</v>
      </c>
      <c r="AJ33" s="3">
        <v>2</v>
      </c>
      <c r="AK33" s="3">
        <v>2</v>
      </c>
      <c r="AL33" s="20" t="s">
        <v>188</v>
      </c>
      <c r="AM33" s="5">
        <v>10</v>
      </c>
      <c r="AN33" s="5">
        <v>25</v>
      </c>
      <c r="AO33" s="5">
        <v>15</v>
      </c>
      <c r="AP33" s="5">
        <v>10</v>
      </c>
      <c r="AQ33" s="5">
        <v>10</v>
      </c>
      <c r="AR33" s="5">
        <v>10</v>
      </c>
      <c r="AS33" s="5">
        <v>10</v>
      </c>
      <c r="AT33" s="5">
        <v>20</v>
      </c>
    </row>
    <row r="34" spans="1:46" x14ac:dyDescent="0.35">
      <c r="A34" s="3" t="s">
        <v>163</v>
      </c>
      <c r="B34" t="s">
        <v>176</v>
      </c>
      <c r="C34" t="s">
        <v>109</v>
      </c>
      <c r="D34" s="21">
        <v>45308.617581018516</v>
      </c>
      <c r="E34" s="3">
        <v>1342</v>
      </c>
      <c r="F34" s="3">
        <v>2</v>
      </c>
      <c r="G34" s="3">
        <v>2</v>
      </c>
      <c r="H34" s="3">
        <v>3</v>
      </c>
      <c r="I34" s="3">
        <v>2</v>
      </c>
      <c r="J34" s="3">
        <v>2</v>
      </c>
      <c r="K34" s="3">
        <v>2</v>
      </c>
      <c r="L34" s="3">
        <v>2</v>
      </c>
      <c r="M34" s="3">
        <v>2</v>
      </c>
      <c r="N34" s="3">
        <v>2</v>
      </c>
      <c r="O34" s="3">
        <v>3</v>
      </c>
      <c r="P34" s="3">
        <v>3</v>
      </c>
      <c r="Q34" s="3">
        <v>3</v>
      </c>
      <c r="R34" s="3">
        <v>3</v>
      </c>
      <c r="S34" s="3">
        <v>2</v>
      </c>
      <c r="T34" s="3">
        <v>3</v>
      </c>
      <c r="U34" s="3">
        <v>2</v>
      </c>
      <c r="V34" s="3">
        <v>3</v>
      </c>
      <c r="W34" s="3">
        <v>3</v>
      </c>
      <c r="X34" s="3">
        <v>3</v>
      </c>
      <c r="Y34" s="3">
        <v>3</v>
      </c>
      <c r="Z34" s="3">
        <v>3</v>
      </c>
      <c r="AA34" s="3">
        <v>3</v>
      </c>
      <c r="AB34" s="3">
        <v>3</v>
      </c>
      <c r="AC34" s="3">
        <v>3</v>
      </c>
      <c r="AD34" s="3">
        <v>3</v>
      </c>
      <c r="AE34" s="3">
        <v>3</v>
      </c>
      <c r="AF34" s="3">
        <v>3</v>
      </c>
      <c r="AG34" s="3">
        <v>3</v>
      </c>
      <c r="AH34" s="3">
        <v>3</v>
      </c>
      <c r="AI34" s="3">
        <v>3</v>
      </c>
      <c r="AJ34" s="3">
        <v>3</v>
      </c>
      <c r="AK34" s="3">
        <v>3</v>
      </c>
      <c r="AL34" s="20" t="s">
        <v>111</v>
      </c>
      <c r="AM34" s="5">
        <v>12</v>
      </c>
      <c r="AN34" s="5">
        <v>15</v>
      </c>
      <c r="AO34" s="5">
        <v>15</v>
      </c>
      <c r="AP34" s="5">
        <v>15</v>
      </c>
      <c r="AQ34" s="5">
        <v>15</v>
      </c>
      <c r="AR34" s="5">
        <v>15</v>
      </c>
      <c r="AS34" s="5">
        <v>15</v>
      </c>
      <c r="AT34" s="5">
        <v>10</v>
      </c>
    </row>
    <row r="35" spans="1:46" x14ac:dyDescent="0.35">
      <c r="A35" s="3" t="s">
        <v>164</v>
      </c>
      <c r="B35" t="s">
        <v>176</v>
      </c>
      <c r="C35" t="s">
        <v>107</v>
      </c>
      <c r="D35" s="21">
        <v>45308.629236111112</v>
      </c>
      <c r="E35" s="3">
        <v>430</v>
      </c>
      <c r="F35" s="3">
        <v>1</v>
      </c>
      <c r="G35" s="3">
        <v>2</v>
      </c>
      <c r="H35" s="3">
        <v>1</v>
      </c>
      <c r="I35" s="3">
        <v>1</v>
      </c>
      <c r="J35" s="3">
        <v>1</v>
      </c>
      <c r="K35" s="3">
        <v>3</v>
      </c>
      <c r="L35" s="3">
        <v>1</v>
      </c>
      <c r="M35" s="3">
        <v>1</v>
      </c>
      <c r="N35" s="3">
        <v>2</v>
      </c>
      <c r="O35" s="3">
        <v>1</v>
      </c>
      <c r="P35" s="3">
        <v>2</v>
      </c>
      <c r="Q35" s="3">
        <v>2</v>
      </c>
      <c r="R35" s="3">
        <v>1</v>
      </c>
      <c r="S35" s="3">
        <v>1</v>
      </c>
      <c r="T35" s="3">
        <v>1</v>
      </c>
      <c r="U35" s="3">
        <v>1</v>
      </c>
      <c r="V35" s="3">
        <v>4</v>
      </c>
      <c r="W35" s="3">
        <v>4</v>
      </c>
      <c r="X35" s="3">
        <v>3</v>
      </c>
      <c r="Y35" s="3">
        <v>2</v>
      </c>
      <c r="Z35" s="3">
        <v>2</v>
      </c>
      <c r="AA35" s="3">
        <v>3</v>
      </c>
      <c r="AB35" s="3">
        <v>2</v>
      </c>
      <c r="AC35" s="3">
        <v>4</v>
      </c>
      <c r="AD35" s="3">
        <v>3</v>
      </c>
      <c r="AE35" s="3">
        <v>4</v>
      </c>
      <c r="AF35" s="3">
        <v>3</v>
      </c>
      <c r="AG35" s="3">
        <v>4</v>
      </c>
      <c r="AH35" s="3">
        <v>3</v>
      </c>
      <c r="AI35" s="3">
        <v>3</v>
      </c>
      <c r="AJ35" s="3">
        <v>2</v>
      </c>
      <c r="AK35" s="3">
        <v>2</v>
      </c>
      <c r="AL35" s="20" t="s">
        <v>189</v>
      </c>
      <c r="AM35" s="5">
        <v>12</v>
      </c>
      <c r="AN35" s="5">
        <v>25</v>
      </c>
      <c r="AO35" s="5">
        <v>0</v>
      </c>
      <c r="AP35" s="5">
        <v>0</v>
      </c>
      <c r="AQ35" s="5">
        <v>25</v>
      </c>
      <c r="AR35" s="5">
        <v>0</v>
      </c>
      <c r="AS35" s="5">
        <v>20</v>
      </c>
      <c r="AT35" s="5">
        <v>30</v>
      </c>
    </row>
    <row r="36" spans="1:46" x14ac:dyDescent="0.35">
      <c r="A36" s="3" t="s">
        <v>165</v>
      </c>
      <c r="B36" t="s">
        <v>176</v>
      </c>
      <c r="C36" t="s">
        <v>107</v>
      </c>
      <c r="D36" s="21">
        <v>45308.893854166665</v>
      </c>
      <c r="E36" s="3">
        <v>313</v>
      </c>
      <c r="F36" s="3">
        <v>3</v>
      </c>
      <c r="G36" s="3">
        <v>3</v>
      </c>
      <c r="H36" s="3">
        <v>3</v>
      </c>
      <c r="I36" s="3">
        <v>3</v>
      </c>
      <c r="J36" s="3">
        <v>3</v>
      </c>
      <c r="K36" s="3">
        <v>3</v>
      </c>
      <c r="L36" s="3">
        <v>3</v>
      </c>
      <c r="M36" s="3">
        <v>3</v>
      </c>
      <c r="N36" s="3">
        <v>3</v>
      </c>
      <c r="O36" s="3">
        <v>3</v>
      </c>
      <c r="P36" s="3">
        <v>3</v>
      </c>
      <c r="Q36" s="3">
        <v>3</v>
      </c>
      <c r="R36" s="3">
        <v>3</v>
      </c>
      <c r="S36" s="3">
        <v>3</v>
      </c>
      <c r="T36" s="3">
        <v>3</v>
      </c>
      <c r="U36" s="3">
        <v>3</v>
      </c>
      <c r="V36" s="3">
        <v>4</v>
      </c>
      <c r="W36" s="3">
        <v>4</v>
      </c>
      <c r="X36" s="3">
        <v>4</v>
      </c>
      <c r="Y36" s="3">
        <v>4</v>
      </c>
      <c r="Z36" s="3">
        <v>4</v>
      </c>
      <c r="AA36" s="3">
        <v>4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4</v>
      </c>
      <c r="AH36" s="3">
        <v>4</v>
      </c>
      <c r="AI36" s="3">
        <v>4</v>
      </c>
      <c r="AJ36" s="3">
        <v>4</v>
      </c>
      <c r="AK36" s="3">
        <v>4</v>
      </c>
      <c r="AL36" s="20" t="s">
        <v>190</v>
      </c>
      <c r="AM36" s="5">
        <v>12</v>
      </c>
      <c r="AN36" s="5">
        <v>25</v>
      </c>
      <c r="AO36" s="5">
        <v>10</v>
      </c>
      <c r="AP36" s="5">
        <v>10</v>
      </c>
      <c r="AQ36" s="5">
        <v>10</v>
      </c>
      <c r="AR36" s="5">
        <v>10</v>
      </c>
      <c r="AS36" s="5">
        <v>10</v>
      </c>
      <c r="AT36" s="5">
        <v>25</v>
      </c>
    </row>
    <row r="37" spans="1:46" x14ac:dyDescent="0.35">
      <c r="A37" s="3" t="s">
        <v>166</v>
      </c>
      <c r="B37" t="s">
        <v>177</v>
      </c>
      <c r="C37" t="s">
        <v>106</v>
      </c>
      <c r="D37" s="21">
        <v>45309.090624999997</v>
      </c>
      <c r="E37" s="3">
        <v>540</v>
      </c>
      <c r="F37" s="3">
        <v>1</v>
      </c>
      <c r="G37" s="3">
        <v>1</v>
      </c>
      <c r="H37" s="3">
        <v>1</v>
      </c>
      <c r="I37" s="3">
        <v>3</v>
      </c>
      <c r="J37" s="3">
        <v>3</v>
      </c>
      <c r="K37" s="3">
        <v>3</v>
      </c>
      <c r="L37" s="3">
        <v>3</v>
      </c>
      <c r="M37" s="3">
        <v>3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3</v>
      </c>
      <c r="W37" s="3">
        <v>3</v>
      </c>
      <c r="X37" s="3">
        <v>3</v>
      </c>
      <c r="Y37" s="3">
        <v>3</v>
      </c>
      <c r="Z37" s="3">
        <v>3</v>
      </c>
      <c r="AA37" s="3">
        <v>3</v>
      </c>
      <c r="AB37" s="3">
        <v>3</v>
      </c>
      <c r="AC37" s="3">
        <v>3</v>
      </c>
      <c r="AD37" s="3">
        <v>3</v>
      </c>
      <c r="AE37" s="3">
        <v>3</v>
      </c>
      <c r="AF37" s="3">
        <v>3</v>
      </c>
      <c r="AG37" s="3">
        <v>3</v>
      </c>
      <c r="AH37" s="3">
        <v>3</v>
      </c>
      <c r="AI37" s="3">
        <v>3</v>
      </c>
      <c r="AJ37" s="3">
        <v>3</v>
      </c>
      <c r="AK37" s="3">
        <v>3</v>
      </c>
      <c r="AL37" s="20">
        <v>3</v>
      </c>
      <c r="AM37" s="5">
        <v>16</v>
      </c>
      <c r="AN37" s="5">
        <v>25</v>
      </c>
      <c r="AO37" s="5">
        <v>25</v>
      </c>
      <c r="AP37" s="5">
        <v>25</v>
      </c>
      <c r="AQ37" s="5">
        <v>25</v>
      </c>
      <c r="AR37" s="5">
        <v>0</v>
      </c>
      <c r="AS37" s="5">
        <v>0</v>
      </c>
      <c r="AT37" s="5">
        <v>0</v>
      </c>
    </row>
    <row r="38" spans="1:46" x14ac:dyDescent="0.35">
      <c r="A38" s="3" t="s">
        <v>167</v>
      </c>
      <c r="B38" t="s">
        <v>176</v>
      </c>
      <c r="C38" t="s">
        <v>110</v>
      </c>
      <c r="D38" s="21">
        <v>45309.393865740742</v>
      </c>
      <c r="E38" s="3">
        <v>253</v>
      </c>
      <c r="F38" s="3">
        <v>2</v>
      </c>
      <c r="G38" s="3">
        <v>4</v>
      </c>
      <c r="H38" s="3">
        <v>3</v>
      </c>
      <c r="I38" s="3">
        <v>3</v>
      </c>
      <c r="J38" s="3">
        <v>3</v>
      </c>
      <c r="K38" s="3">
        <v>3</v>
      </c>
      <c r="L38" s="3">
        <v>3</v>
      </c>
      <c r="M38" s="3">
        <v>3</v>
      </c>
      <c r="N38" s="3">
        <v>4</v>
      </c>
      <c r="O38" s="3">
        <v>3</v>
      </c>
      <c r="P38" s="3">
        <v>3</v>
      </c>
      <c r="Q38" s="3">
        <v>3</v>
      </c>
      <c r="R38" s="3">
        <v>3</v>
      </c>
      <c r="S38" s="3">
        <v>3</v>
      </c>
      <c r="T38" s="3">
        <v>2</v>
      </c>
      <c r="U38" s="3">
        <v>3</v>
      </c>
      <c r="V38" s="3">
        <v>4</v>
      </c>
      <c r="W38" s="3">
        <v>4</v>
      </c>
      <c r="X38" s="3">
        <v>4</v>
      </c>
      <c r="Y38" s="3">
        <v>4</v>
      </c>
      <c r="Z38" s="3">
        <v>4</v>
      </c>
      <c r="AA38" s="3">
        <v>4</v>
      </c>
      <c r="AB38" s="3">
        <v>4</v>
      </c>
      <c r="AC38" s="3">
        <v>4</v>
      </c>
      <c r="AD38" s="3">
        <v>4</v>
      </c>
      <c r="AE38" s="3">
        <v>4</v>
      </c>
      <c r="AF38" s="3">
        <v>4</v>
      </c>
      <c r="AG38" s="3">
        <v>4</v>
      </c>
      <c r="AH38" s="3">
        <v>4</v>
      </c>
      <c r="AI38" s="3">
        <v>4</v>
      </c>
      <c r="AJ38" s="3">
        <v>3</v>
      </c>
      <c r="AK38" s="3">
        <v>4</v>
      </c>
      <c r="AL38" s="20" t="s">
        <v>191</v>
      </c>
      <c r="AM38" s="5">
        <v>12</v>
      </c>
      <c r="AN38" s="5">
        <v>40</v>
      </c>
      <c r="AO38" s="5">
        <v>0</v>
      </c>
      <c r="AP38" s="5">
        <v>0</v>
      </c>
      <c r="AQ38" s="5">
        <v>20</v>
      </c>
      <c r="AR38" s="5">
        <v>0</v>
      </c>
      <c r="AS38" s="5">
        <v>0</v>
      </c>
      <c r="AT38" s="5">
        <v>40</v>
      </c>
    </row>
    <row r="39" spans="1:46" x14ac:dyDescent="0.35">
      <c r="A39" s="3" t="s">
        <v>168</v>
      </c>
      <c r="B39" t="s">
        <v>176</v>
      </c>
      <c r="C39" t="s">
        <v>107</v>
      </c>
      <c r="D39" s="21">
        <v>45309.453206018516</v>
      </c>
      <c r="E39" s="3">
        <v>307</v>
      </c>
      <c r="F39" s="3">
        <v>2</v>
      </c>
      <c r="G39" s="3">
        <v>4</v>
      </c>
      <c r="H39" s="3">
        <v>2</v>
      </c>
      <c r="I39" s="3">
        <v>3</v>
      </c>
      <c r="J39" s="3">
        <v>2</v>
      </c>
      <c r="K39" s="3">
        <v>3</v>
      </c>
      <c r="L39" s="3">
        <v>2</v>
      </c>
      <c r="M39" s="3">
        <v>2</v>
      </c>
      <c r="N39" s="3">
        <v>3</v>
      </c>
      <c r="O39" s="3">
        <v>3</v>
      </c>
      <c r="P39" s="3">
        <v>3</v>
      </c>
      <c r="Q39" s="3">
        <v>3</v>
      </c>
      <c r="R39" s="3">
        <v>3</v>
      </c>
      <c r="S39" s="3">
        <v>3</v>
      </c>
      <c r="T39" s="3">
        <v>2</v>
      </c>
      <c r="U39" s="3">
        <v>3</v>
      </c>
      <c r="V39" s="3">
        <v>3</v>
      </c>
      <c r="W39" s="3">
        <v>2</v>
      </c>
      <c r="X39" s="3">
        <v>3</v>
      </c>
      <c r="Y39" s="3">
        <v>3</v>
      </c>
      <c r="Z39" s="3">
        <v>3</v>
      </c>
      <c r="AA39" s="3">
        <v>2</v>
      </c>
      <c r="AB39" s="3">
        <v>4</v>
      </c>
      <c r="AC39" s="3">
        <v>4</v>
      </c>
      <c r="AD39" s="3">
        <v>3</v>
      </c>
      <c r="AE39" s="3">
        <v>3</v>
      </c>
      <c r="AF39" s="3">
        <v>2</v>
      </c>
      <c r="AG39" s="3">
        <v>2</v>
      </c>
      <c r="AH39" s="3">
        <v>4</v>
      </c>
      <c r="AI39" s="3">
        <v>4</v>
      </c>
      <c r="AJ39" s="3">
        <v>2</v>
      </c>
      <c r="AK39" s="3">
        <v>3</v>
      </c>
      <c r="AL39" s="20" t="s">
        <v>123</v>
      </c>
      <c r="AM39" s="5">
        <v>12</v>
      </c>
      <c r="AN39" s="5">
        <v>25</v>
      </c>
      <c r="AO39" s="5">
        <v>10</v>
      </c>
      <c r="AP39" s="5">
        <v>10</v>
      </c>
      <c r="AQ39" s="5">
        <v>10</v>
      </c>
      <c r="AR39" s="5">
        <v>10</v>
      </c>
      <c r="AS39" s="5">
        <v>10</v>
      </c>
      <c r="AT39" s="5">
        <v>25</v>
      </c>
    </row>
    <row r="40" spans="1:46" x14ac:dyDescent="0.35">
      <c r="A40" s="3" t="s">
        <v>169</v>
      </c>
      <c r="B40" t="s">
        <v>176</v>
      </c>
      <c r="C40" t="s">
        <v>108</v>
      </c>
      <c r="D40" s="21">
        <v>45309.562673611108</v>
      </c>
      <c r="E40" s="3">
        <v>638</v>
      </c>
      <c r="F40" s="3">
        <v>2</v>
      </c>
      <c r="G40" s="3">
        <v>2</v>
      </c>
      <c r="H40" s="3">
        <v>3</v>
      </c>
      <c r="I40" s="3">
        <v>2</v>
      </c>
      <c r="J40" s="3">
        <v>2</v>
      </c>
      <c r="K40" s="3">
        <v>2</v>
      </c>
      <c r="L40" s="3">
        <v>2</v>
      </c>
      <c r="M40" s="3">
        <v>2</v>
      </c>
      <c r="N40" s="3">
        <v>2</v>
      </c>
      <c r="O40" s="3">
        <v>2</v>
      </c>
      <c r="P40" s="3">
        <v>2</v>
      </c>
      <c r="Q40" s="3">
        <v>2</v>
      </c>
      <c r="R40" s="3">
        <v>3</v>
      </c>
      <c r="S40" s="3">
        <v>2</v>
      </c>
      <c r="T40" s="3">
        <v>2</v>
      </c>
      <c r="U40" s="3">
        <v>2</v>
      </c>
      <c r="V40" s="3">
        <v>4</v>
      </c>
      <c r="W40" s="3">
        <v>3</v>
      </c>
      <c r="X40" s="3">
        <v>4</v>
      </c>
      <c r="Y40" s="3">
        <v>2</v>
      </c>
      <c r="Z40" s="3">
        <v>3</v>
      </c>
      <c r="AA40" s="3">
        <v>3</v>
      </c>
      <c r="AB40" s="3">
        <v>2</v>
      </c>
      <c r="AC40" s="3">
        <v>2</v>
      </c>
      <c r="AD40" s="3">
        <v>3</v>
      </c>
      <c r="AE40" s="3">
        <v>3</v>
      </c>
      <c r="AF40" s="3">
        <v>3</v>
      </c>
      <c r="AG40" s="3">
        <v>4</v>
      </c>
      <c r="AH40" s="3">
        <v>4</v>
      </c>
      <c r="AI40" s="3">
        <v>4</v>
      </c>
      <c r="AJ40" s="3">
        <v>4</v>
      </c>
      <c r="AK40" s="3">
        <v>4</v>
      </c>
      <c r="AL40" s="20" t="s">
        <v>192</v>
      </c>
      <c r="AM40" s="5">
        <v>10</v>
      </c>
      <c r="AN40" s="5">
        <v>0</v>
      </c>
      <c r="AO40" s="5">
        <v>0</v>
      </c>
      <c r="AP40" s="5">
        <v>0</v>
      </c>
      <c r="AQ40" s="5">
        <v>100</v>
      </c>
      <c r="AR40" s="5">
        <v>0</v>
      </c>
      <c r="AS40" s="5">
        <v>0</v>
      </c>
      <c r="AT40" s="5">
        <v>0</v>
      </c>
    </row>
    <row r="41" spans="1:46" x14ac:dyDescent="0.35">
      <c r="A41" s="3" t="s">
        <v>170</v>
      </c>
      <c r="B41" t="s">
        <v>176</v>
      </c>
      <c r="C41" t="s">
        <v>107</v>
      </c>
      <c r="D41" s="21">
        <v>45309.582314814812</v>
      </c>
      <c r="E41" s="3">
        <v>425</v>
      </c>
      <c r="F41" s="3">
        <v>2</v>
      </c>
      <c r="G41" s="3">
        <v>2</v>
      </c>
      <c r="H41" s="3">
        <v>1</v>
      </c>
      <c r="I41" s="3">
        <v>1</v>
      </c>
      <c r="J41" s="3">
        <v>3</v>
      </c>
      <c r="K41" s="3">
        <v>2</v>
      </c>
      <c r="L41" s="3">
        <v>2</v>
      </c>
      <c r="M41" s="3">
        <v>2</v>
      </c>
      <c r="N41" s="3">
        <v>2</v>
      </c>
      <c r="O41" s="3">
        <v>2</v>
      </c>
      <c r="P41" s="3">
        <v>3</v>
      </c>
      <c r="Q41" s="3">
        <v>3</v>
      </c>
      <c r="R41" s="3">
        <v>2</v>
      </c>
      <c r="S41" s="3">
        <v>2</v>
      </c>
      <c r="T41" s="3">
        <v>1</v>
      </c>
      <c r="U41" s="3">
        <v>1</v>
      </c>
      <c r="V41" s="3">
        <v>3</v>
      </c>
      <c r="W41" s="3">
        <v>4</v>
      </c>
      <c r="X41" s="3">
        <v>3</v>
      </c>
      <c r="Y41" s="3">
        <v>3</v>
      </c>
      <c r="Z41" s="3">
        <v>4</v>
      </c>
      <c r="AA41" s="3">
        <v>3</v>
      </c>
      <c r="AB41" s="3">
        <v>4</v>
      </c>
      <c r="AC41" s="3">
        <v>3</v>
      </c>
      <c r="AD41" s="3">
        <v>3</v>
      </c>
      <c r="AE41" s="3">
        <v>3</v>
      </c>
      <c r="AF41" s="3">
        <v>4</v>
      </c>
      <c r="AG41" s="3">
        <v>4</v>
      </c>
      <c r="AH41" s="3">
        <v>4</v>
      </c>
      <c r="AI41" s="3">
        <v>4</v>
      </c>
      <c r="AJ41" s="3">
        <v>2</v>
      </c>
      <c r="AK41" s="3">
        <v>3</v>
      </c>
      <c r="AL41" s="20" t="s">
        <v>111</v>
      </c>
      <c r="AM41" s="5">
        <v>10</v>
      </c>
      <c r="AN41" s="5">
        <v>25</v>
      </c>
      <c r="AO41" s="5">
        <v>10</v>
      </c>
      <c r="AP41" s="5">
        <v>10</v>
      </c>
      <c r="AQ41" s="5">
        <v>10</v>
      </c>
      <c r="AR41" s="5">
        <v>10</v>
      </c>
      <c r="AS41" s="5">
        <v>10</v>
      </c>
      <c r="AT41" s="5">
        <v>25</v>
      </c>
    </row>
    <row r="42" spans="1:46" x14ac:dyDescent="0.35">
      <c r="A42" s="3" t="s">
        <v>171</v>
      </c>
      <c r="B42" t="s">
        <v>177</v>
      </c>
      <c r="C42" t="s">
        <v>107</v>
      </c>
      <c r="D42" s="21">
        <v>45310.552719907406</v>
      </c>
      <c r="E42" s="3">
        <v>694</v>
      </c>
      <c r="F42" s="3">
        <v>2</v>
      </c>
      <c r="G42" s="3">
        <v>3</v>
      </c>
      <c r="H42" s="3">
        <v>1</v>
      </c>
      <c r="I42" s="3">
        <v>1</v>
      </c>
      <c r="J42" s="3">
        <v>2</v>
      </c>
      <c r="K42" s="3">
        <v>3</v>
      </c>
      <c r="L42" s="3">
        <v>2</v>
      </c>
      <c r="M42" s="3">
        <v>2</v>
      </c>
      <c r="N42" s="3">
        <v>2</v>
      </c>
      <c r="O42" s="3">
        <v>2</v>
      </c>
      <c r="P42" s="3">
        <v>3</v>
      </c>
      <c r="Q42" s="3">
        <v>3</v>
      </c>
      <c r="R42" s="3">
        <v>3</v>
      </c>
      <c r="S42" s="3">
        <v>3</v>
      </c>
      <c r="T42" s="3">
        <v>2</v>
      </c>
      <c r="U42" s="3">
        <v>1</v>
      </c>
      <c r="V42" s="3">
        <v>3</v>
      </c>
      <c r="W42" s="3">
        <v>4</v>
      </c>
      <c r="X42" s="3">
        <v>3</v>
      </c>
      <c r="Y42" s="3">
        <v>3</v>
      </c>
      <c r="Z42" s="3">
        <v>3</v>
      </c>
      <c r="AA42" s="3">
        <v>3</v>
      </c>
      <c r="AB42" s="3">
        <v>3</v>
      </c>
      <c r="AC42" s="3">
        <v>3</v>
      </c>
      <c r="AD42" s="3">
        <v>3</v>
      </c>
      <c r="AE42" s="3">
        <v>3</v>
      </c>
      <c r="AF42" s="3">
        <v>3</v>
      </c>
      <c r="AG42" s="3">
        <v>4</v>
      </c>
      <c r="AH42" s="3">
        <v>4</v>
      </c>
      <c r="AI42" s="3">
        <v>3</v>
      </c>
      <c r="AJ42" s="3">
        <v>3</v>
      </c>
      <c r="AK42" s="3">
        <v>3</v>
      </c>
      <c r="AL42" s="20" t="s">
        <v>193</v>
      </c>
      <c r="AM42" s="5">
        <v>12</v>
      </c>
      <c r="AN42" s="5">
        <v>40</v>
      </c>
      <c r="AO42" s="5">
        <v>0</v>
      </c>
      <c r="AP42" s="5">
        <v>5</v>
      </c>
      <c r="AQ42" s="5">
        <v>0</v>
      </c>
      <c r="AR42" s="5">
        <v>5</v>
      </c>
      <c r="AS42" s="5">
        <v>10</v>
      </c>
      <c r="AT42" s="5">
        <v>40</v>
      </c>
    </row>
    <row r="43" spans="1:46" x14ac:dyDescent="0.35">
      <c r="A43" s="3" t="s">
        <v>173</v>
      </c>
      <c r="B43" t="s">
        <v>176</v>
      </c>
      <c r="C43" t="s">
        <v>105</v>
      </c>
      <c r="D43" s="21">
        <v>45310.816435185188</v>
      </c>
      <c r="E43" s="3">
        <v>275</v>
      </c>
      <c r="F43" s="3">
        <v>2</v>
      </c>
      <c r="G43" s="3">
        <v>1</v>
      </c>
      <c r="H43" s="3">
        <v>1</v>
      </c>
      <c r="I43" s="3">
        <v>1</v>
      </c>
      <c r="J43" s="3">
        <v>1</v>
      </c>
      <c r="K43" s="3">
        <v>2</v>
      </c>
      <c r="L43" s="3">
        <v>1</v>
      </c>
      <c r="M43" s="3">
        <v>1</v>
      </c>
      <c r="N43" s="3">
        <v>2</v>
      </c>
      <c r="O43" s="3">
        <v>1</v>
      </c>
      <c r="P43" s="3">
        <v>2</v>
      </c>
      <c r="Q43" s="3">
        <v>1</v>
      </c>
      <c r="R43" s="3">
        <v>1</v>
      </c>
      <c r="S43" s="3">
        <v>1</v>
      </c>
      <c r="T43" s="3">
        <v>1</v>
      </c>
      <c r="U43" s="3">
        <v>3</v>
      </c>
      <c r="V43" s="3">
        <v>3</v>
      </c>
      <c r="W43" s="3">
        <v>4</v>
      </c>
      <c r="X43" s="3">
        <v>3</v>
      </c>
      <c r="Y43" s="3">
        <v>2</v>
      </c>
      <c r="Z43" s="3">
        <v>4</v>
      </c>
      <c r="AA43" s="3">
        <v>3</v>
      </c>
      <c r="AB43" s="3">
        <v>3</v>
      </c>
      <c r="AC43" s="3">
        <v>3</v>
      </c>
      <c r="AD43" s="3">
        <v>4</v>
      </c>
      <c r="AE43" s="3">
        <v>2</v>
      </c>
      <c r="AF43" s="3">
        <v>3</v>
      </c>
      <c r="AG43" s="3">
        <v>3</v>
      </c>
      <c r="AH43" s="3">
        <v>2</v>
      </c>
      <c r="AI43" s="3">
        <v>3</v>
      </c>
      <c r="AJ43" s="3">
        <v>1</v>
      </c>
      <c r="AK43" s="3">
        <v>3</v>
      </c>
      <c r="AL43" s="20">
        <v>3</v>
      </c>
      <c r="AM43" s="5">
        <v>12</v>
      </c>
      <c r="AN43" s="5">
        <v>33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67</v>
      </c>
    </row>
    <row r="44" spans="1:46" x14ac:dyDescent="0.35">
      <c r="A44" s="3" t="s">
        <v>174</v>
      </c>
      <c r="B44" t="s">
        <v>177</v>
      </c>
      <c r="C44" t="s">
        <v>107</v>
      </c>
      <c r="D44" s="21">
        <v>45312.869027777779</v>
      </c>
      <c r="E44" s="3">
        <v>582</v>
      </c>
      <c r="F44" s="3">
        <v>2</v>
      </c>
      <c r="G44" s="3">
        <v>3</v>
      </c>
      <c r="H44" s="3">
        <v>2</v>
      </c>
      <c r="I44" s="3">
        <v>2</v>
      </c>
      <c r="J44" s="3">
        <v>2</v>
      </c>
      <c r="K44" s="3">
        <v>2</v>
      </c>
      <c r="L44" s="3">
        <v>2</v>
      </c>
      <c r="M44" s="3">
        <v>2</v>
      </c>
      <c r="N44" s="3">
        <v>2</v>
      </c>
      <c r="O44" s="3">
        <v>2</v>
      </c>
      <c r="P44" s="3">
        <v>2</v>
      </c>
      <c r="Q44" s="3">
        <v>2</v>
      </c>
      <c r="R44" s="3">
        <v>2</v>
      </c>
      <c r="S44" s="3">
        <v>2</v>
      </c>
      <c r="T44" s="3">
        <v>2</v>
      </c>
      <c r="U44" s="3">
        <v>2</v>
      </c>
      <c r="V44" s="3">
        <v>3</v>
      </c>
      <c r="W44" s="3">
        <v>3</v>
      </c>
      <c r="X44" s="3">
        <v>3</v>
      </c>
      <c r="Y44" s="3">
        <v>2</v>
      </c>
      <c r="Z44" s="3">
        <v>2</v>
      </c>
      <c r="AA44" s="3">
        <v>2</v>
      </c>
      <c r="AB44" s="3">
        <v>2</v>
      </c>
      <c r="AC44" s="3">
        <v>2</v>
      </c>
      <c r="AD44" s="3">
        <v>2</v>
      </c>
      <c r="AE44" s="3">
        <v>2</v>
      </c>
      <c r="AF44" s="3">
        <v>3</v>
      </c>
      <c r="AG44" s="3">
        <v>3</v>
      </c>
      <c r="AH44" s="3">
        <v>4</v>
      </c>
      <c r="AI44" s="3">
        <v>2</v>
      </c>
      <c r="AJ44" s="3">
        <v>3</v>
      </c>
      <c r="AK44" s="3">
        <v>3</v>
      </c>
      <c r="AL44" s="20" t="s">
        <v>194</v>
      </c>
      <c r="AM44" s="5">
        <v>12</v>
      </c>
      <c r="AN44" s="5">
        <v>25</v>
      </c>
      <c r="AO44" s="5">
        <v>0</v>
      </c>
      <c r="AP44" s="5">
        <v>0</v>
      </c>
      <c r="AQ44" s="5">
        <v>0</v>
      </c>
      <c r="AR44" s="5">
        <v>0</v>
      </c>
      <c r="AS44" s="5">
        <v>25</v>
      </c>
      <c r="AT44" s="5">
        <v>50</v>
      </c>
    </row>
    <row r="45" spans="1:46" x14ac:dyDescent="0.35">
      <c r="A45" s="3" t="s">
        <v>175</v>
      </c>
      <c r="B45" t="s">
        <v>177</v>
      </c>
      <c r="C45" t="s">
        <v>107</v>
      </c>
      <c r="D45" s="21">
        <v>45315.54409722222</v>
      </c>
      <c r="E45" s="3">
        <v>295</v>
      </c>
      <c r="F45" s="3">
        <v>1</v>
      </c>
      <c r="G45" s="3">
        <v>2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2</v>
      </c>
      <c r="R45" s="3">
        <v>1</v>
      </c>
      <c r="S45" s="3">
        <v>1</v>
      </c>
      <c r="T45" s="3">
        <v>1</v>
      </c>
      <c r="U45" s="3">
        <v>2</v>
      </c>
      <c r="V45" s="3">
        <v>4</v>
      </c>
      <c r="W45" s="3">
        <v>4</v>
      </c>
      <c r="X45" s="3">
        <v>4</v>
      </c>
      <c r="Y45" s="3">
        <v>4</v>
      </c>
      <c r="Z45" s="3">
        <v>4</v>
      </c>
      <c r="AA45" s="3">
        <v>4</v>
      </c>
      <c r="AB45" s="3">
        <v>4</v>
      </c>
      <c r="AC45" s="3">
        <v>4</v>
      </c>
      <c r="AD45" s="3">
        <v>4</v>
      </c>
      <c r="AE45" s="3">
        <v>4</v>
      </c>
      <c r="AF45" s="3">
        <v>4</v>
      </c>
      <c r="AG45" s="3">
        <v>4</v>
      </c>
      <c r="AH45" s="3">
        <v>4</v>
      </c>
      <c r="AI45" s="3">
        <v>4</v>
      </c>
      <c r="AJ45" s="3">
        <v>2</v>
      </c>
      <c r="AK45" s="3">
        <v>4</v>
      </c>
      <c r="AL45" s="20" t="s">
        <v>195</v>
      </c>
      <c r="AM45" s="5">
        <v>12</v>
      </c>
      <c r="AN45" s="5">
        <v>30</v>
      </c>
      <c r="AO45" s="5">
        <v>25</v>
      </c>
      <c r="AP45" s="5">
        <v>15</v>
      </c>
      <c r="AQ45" s="5">
        <v>0</v>
      </c>
      <c r="AR45" s="5">
        <v>0</v>
      </c>
      <c r="AS45" s="5">
        <v>0</v>
      </c>
      <c r="AT45" s="5">
        <v>30</v>
      </c>
    </row>
    <row r="47" spans="1:46" x14ac:dyDescent="0.35">
      <c r="F47" s="27">
        <f>AVERAGE(F2:F45)</f>
        <v>2.0681818181818183</v>
      </c>
      <c r="G47" s="27">
        <f t="shared" ref="G47:AK47" si="0">AVERAGE(G2:G45)</f>
        <v>2.7272727272727271</v>
      </c>
      <c r="H47" s="27">
        <f t="shared" si="0"/>
        <v>2.0454545454545454</v>
      </c>
      <c r="I47" s="27">
        <f t="shared" si="0"/>
        <v>2</v>
      </c>
      <c r="J47" s="27">
        <f t="shared" si="0"/>
        <v>2.1363636363636362</v>
      </c>
      <c r="K47" s="27">
        <f t="shared" si="0"/>
        <v>2.3409090909090908</v>
      </c>
      <c r="L47" s="27">
        <f t="shared" si="0"/>
        <v>1.8636363636363635</v>
      </c>
      <c r="M47" s="27">
        <f t="shared" si="0"/>
        <v>1.8409090909090908</v>
      </c>
      <c r="N47" s="27">
        <f t="shared" si="0"/>
        <v>2.3409090909090908</v>
      </c>
      <c r="O47" s="27">
        <f t="shared" si="0"/>
        <v>2.1136363636363638</v>
      </c>
      <c r="P47" s="27">
        <f t="shared" si="0"/>
        <v>2.2954545454545454</v>
      </c>
      <c r="Q47" s="27">
        <f t="shared" si="0"/>
        <v>2.5454545454545454</v>
      </c>
      <c r="R47" s="27">
        <f t="shared" si="0"/>
        <v>2.2272727272727271</v>
      </c>
      <c r="S47" s="27">
        <f t="shared" si="0"/>
        <v>1.9772727272727273</v>
      </c>
      <c r="T47" s="27">
        <f t="shared" si="0"/>
        <v>1.6363636363636365</v>
      </c>
      <c r="U47" s="27">
        <f t="shared" si="0"/>
        <v>2.0681818181818183</v>
      </c>
      <c r="V47" s="27">
        <f t="shared" si="0"/>
        <v>3.4090909090909092</v>
      </c>
      <c r="W47" s="27">
        <f t="shared" si="0"/>
        <v>3.4090909090909092</v>
      </c>
      <c r="X47" s="27">
        <f t="shared" si="0"/>
        <v>3.4318181818181817</v>
      </c>
      <c r="Y47" s="27">
        <f t="shared" si="0"/>
        <v>3.0909090909090908</v>
      </c>
      <c r="Z47" s="27">
        <f t="shared" si="0"/>
        <v>3.1136363636363638</v>
      </c>
      <c r="AA47" s="27">
        <f t="shared" si="0"/>
        <v>3.1136363636363638</v>
      </c>
      <c r="AB47" s="27">
        <f t="shared" si="0"/>
        <v>2.9772727272727271</v>
      </c>
      <c r="AC47" s="27">
        <f t="shared" si="0"/>
        <v>3.0909090909090908</v>
      </c>
      <c r="AD47" s="27">
        <f t="shared" si="0"/>
        <v>3.2045454545454546</v>
      </c>
      <c r="AE47" s="27">
        <f t="shared" si="0"/>
        <v>3.3863636363636362</v>
      </c>
      <c r="AF47" s="27">
        <f t="shared" si="0"/>
        <v>3.3181818181818183</v>
      </c>
      <c r="AG47" s="27">
        <f t="shared" si="0"/>
        <v>3.5681818181818183</v>
      </c>
      <c r="AH47" s="27">
        <f t="shared" si="0"/>
        <v>3.4772727272727271</v>
      </c>
      <c r="AI47" s="27">
        <f t="shared" si="0"/>
        <v>3.2954545454545454</v>
      </c>
      <c r="AJ47" s="27">
        <f t="shared" si="0"/>
        <v>2.9545454545454546</v>
      </c>
      <c r="AK47" s="27">
        <f t="shared" si="0"/>
        <v>3.2045454545454546</v>
      </c>
      <c r="AM47" s="31">
        <f>AVERAGE(AM2:AM45)</f>
        <v>12.454545454545455</v>
      </c>
      <c r="AN47" s="31">
        <f t="shared" ref="AN47:AT47" si="1">AVERAGE(AN2:AN45)</f>
        <v>23.161363636363635</v>
      </c>
      <c r="AO47" s="31">
        <f t="shared" si="1"/>
        <v>9.8568181818181824</v>
      </c>
      <c r="AP47" s="31">
        <f t="shared" si="1"/>
        <v>9.0613636363636356</v>
      </c>
      <c r="AQ47" s="31">
        <f t="shared" si="1"/>
        <v>12.536363636363637</v>
      </c>
      <c r="AR47" s="31">
        <f t="shared" si="1"/>
        <v>9.1522727272727273</v>
      </c>
      <c r="AS47" s="31">
        <f t="shared" si="1"/>
        <v>13.025</v>
      </c>
      <c r="AT47" s="31">
        <f t="shared" si="1"/>
        <v>23.206818181818182</v>
      </c>
    </row>
    <row r="48" spans="1:46" x14ac:dyDescent="0.35">
      <c r="A48" s="24" t="s">
        <v>216</v>
      </c>
      <c r="B48" s="25"/>
    </row>
    <row r="49" spans="1:4" x14ac:dyDescent="0.35">
      <c r="A49" s="25" t="s">
        <v>212</v>
      </c>
      <c r="B49" s="25" t="s">
        <v>215</v>
      </c>
      <c r="C49" s="26" t="s">
        <v>217</v>
      </c>
      <c r="D49" t="s">
        <v>219</v>
      </c>
    </row>
    <row r="50" spans="1:4" x14ac:dyDescent="0.35">
      <c r="A50" t="s">
        <v>108</v>
      </c>
      <c r="B50">
        <f>COUNTIF(C$2:C$45,A50)</f>
        <v>4</v>
      </c>
      <c r="C50" s="20" t="s">
        <v>108</v>
      </c>
      <c r="D50">
        <v>4</v>
      </c>
    </row>
    <row r="51" spans="1:4" x14ac:dyDescent="0.35">
      <c r="A51" t="s">
        <v>107</v>
      </c>
      <c r="B51">
        <f t="shared" ref="B51:B58" si="2">COUNTIF(C$2:C$45,A51)</f>
        <v>13</v>
      </c>
      <c r="C51" s="20" t="s">
        <v>107</v>
      </c>
      <c r="D51">
        <v>13</v>
      </c>
    </row>
    <row r="52" spans="1:4" x14ac:dyDescent="0.35">
      <c r="A52" t="s">
        <v>106</v>
      </c>
      <c r="B52">
        <f t="shared" si="2"/>
        <v>2</v>
      </c>
      <c r="C52" s="20" t="s">
        <v>106</v>
      </c>
      <c r="D52">
        <v>2</v>
      </c>
    </row>
    <row r="53" spans="1:4" x14ac:dyDescent="0.35">
      <c r="A53" t="s">
        <v>109</v>
      </c>
      <c r="B53">
        <f t="shared" si="2"/>
        <v>3</v>
      </c>
      <c r="C53" s="20" t="s">
        <v>109</v>
      </c>
      <c r="D53">
        <v>3</v>
      </c>
    </row>
    <row r="54" spans="1:4" x14ac:dyDescent="0.35">
      <c r="A54" t="s">
        <v>213</v>
      </c>
      <c r="B54">
        <f t="shared" si="2"/>
        <v>0</v>
      </c>
      <c r="C54" s="20" t="s">
        <v>208</v>
      </c>
      <c r="D54">
        <v>1</v>
      </c>
    </row>
    <row r="55" spans="1:4" x14ac:dyDescent="0.35">
      <c r="A55" t="s">
        <v>110</v>
      </c>
      <c r="B55">
        <f t="shared" si="2"/>
        <v>10</v>
      </c>
      <c r="C55" s="20" t="s">
        <v>110</v>
      </c>
      <c r="D55">
        <v>10</v>
      </c>
    </row>
    <row r="56" spans="1:4" x14ac:dyDescent="0.35">
      <c r="A56" t="s">
        <v>105</v>
      </c>
      <c r="B56">
        <f t="shared" si="2"/>
        <v>11</v>
      </c>
      <c r="C56" s="20" t="s">
        <v>105</v>
      </c>
      <c r="D56">
        <v>11</v>
      </c>
    </row>
    <row r="57" spans="1:4" x14ac:dyDescent="0.35">
      <c r="A57" t="s">
        <v>208</v>
      </c>
      <c r="B57">
        <f t="shared" si="2"/>
        <v>1</v>
      </c>
      <c r="C57" s="20" t="s">
        <v>218</v>
      </c>
      <c r="D57">
        <v>44</v>
      </c>
    </row>
    <row r="58" spans="1:4" x14ac:dyDescent="0.35">
      <c r="A58" t="s">
        <v>214</v>
      </c>
      <c r="B58">
        <f t="shared" si="2"/>
        <v>0</v>
      </c>
    </row>
    <row r="60" spans="1:4" x14ac:dyDescent="0.35">
      <c r="A60" s="25" t="s">
        <v>232</v>
      </c>
    </row>
    <row r="61" spans="1:4" x14ac:dyDescent="0.35">
      <c r="A61" s="26" t="s">
        <v>217</v>
      </c>
      <c r="B61" t="s">
        <v>219</v>
      </c>
    </row>
    <row r="62" spans="1:4" x14ac:dyDescent="0.35">
      <c r="A62" s="20" t="s">
        <v>220</v>
      </c>
      <c r="B62">
        <v>4</v>
      </c>
    </row>
    <row r="63" spans="1:4" x14ac:dyDescent="0.35">
      <c r="A63" s="20" t="s">
        <v>221</v>
      </c>
      <c r="B63">
        <v>4</v>
      </c>
    </row>
    <row r="64" spans="1:4" x14ac:dyDescent="0.35">
      <c r="A64" s="20" t="s">
        <v>222</v>
      </c>
      <c r="B64">
        <v>3</v>
      </c>
    </row>
    <row r="65" spans="1:2" x14ac:dyDescent="0.35">
      <c r="A65" s="20" t="s">
        <v>223</v>
      </c>
      <c r="B65">
        <v>2</v>
      </c>
    </row>
    <row r="66" spans="1:2" x14ac:dyDescent="0.35">
      <c r="A66" s="20" t="s">
        <v>224</v>
      </c>
      <c r="B66">
        <v>9</v>
      </c>
    </row>
    <row r="67" spans="1:2" x14ac:dyDescent="0.35">
      <c r="A67" s="20" t="s">
        <v>225</v>
      </c>
      <c r="B67">
        <v>10</v>
      </c>
    </row>
    <row r="68" spans="1:2" x14ac:dyDescent="0.35">
      <c r="A68" s="20" t="s">
        <v>226</v>
      </c>
      <c r="B68">
        <v>3</v>
      </c>
    </row>
    <row r="69" spans="1:2" x14ac:dyDescent="0.35">
      <c r="A69" s="20" t="s">
        <v>227</v>
      </c>
      <c r="B69">
        <v>5</v>
      </c>
    </row>
    <row r="70" spans="1:2" x14ac:dyDescent="0.35">
      <c r="A70" s="20" t="s">
        <v>228</v>
      </c>
      <c r="B70">
        <v>2</v>
      </c>
    </row>
    <row r="71" spans="1:2" x14ac:dyDescent="0.35">
      <c r="A71" s="20" t="s">
        <v>229</v>
      </c>
      <c r="B71">
        <v>1</v>
      </c>
    </row>
    <row r="72" spans="1:2" x14ac:dyDescent="0.35">
      <c r="A72" s="20" t="s">
        <v>230</v>
      </c>
      <c r="B72">
        <v>1</v>
      </c>
    </row>
    <row r="73" spans="1:2" x14ac:dyDescent="0.35">
      <c r="A73" s="20" t="s">
        <v>218</v>
      </c>
      <c r="B73">
        <v>44</v>
      </c>
    </row>
    <row r="75" spans="1:2" x14ac:dyDescent="0.35">
      <c r="A75" s="20" t="s">
        <v>231</v>
      </c>
    </row>
    <row r="77" spans="1:2" x14ac:dyDescent="0.35">
      <c r="A77" s="20" t="s">
        <v>239</v>
      </c>
    </row>
    <row r="78" spans="1:2" x14ac:dyDescent="0.35">
      <c r="A78" t="s">
        <v>233</v>
      </c>
      <c r="B78">
        <f>MIN(E2:E45)</f>
        <v>184</v>
      </c>
    </row>
    <row r="79" spans="1:2" x14ac:dyDescent="0.35">
      <c r="A79" s="20" t="s">
        <v>234</v>
      </c>
      <c r="B79">
        <f>MAX(E2:E45)</f>
        <v>1661</v>
      </c>
    </row>
    <row r="80" spans="1:2" x14ac:dyDescent="0.35">
      <c r="A80" t="s">
        <v>235</v>
      </c>
      <c r="B80">
        <f>B79-B78</f>
        <v>1477</v>
      </c>
    </row>
    <row r="81" spans="1:2" x14ac:dyDescent="0.35">
      <c r="A81" s="20" t="s">
        <v>236</v>
      </c>
      <c r="B81">
        <f>AVERAGE(E2:E45)</f>
        <v>570</v>
      </c>
    </row>
    <row r="82" spans="1:2" x14ac:dyDescent="0.35">
      <c r="A82" t="s">
        <v>237</v>
      </c>
      <c r="B82" s="30">
        <f>MEDIAN(E2:E45)</f>
        <v>427.5</v>
      </c>
    </row>
    <row r="83" spans="1:2" x14ac:dyDescent="0.35">
      <c r="A83" s="20" t="s">
        <v>238</v>
      </c>
      <c r="B83" s="30">
        <f>_xlfn.STDEV.S(E2:E45)</f>
        <v>372.73239979972914</v>
      </c>
    </row>
    <row r="85" spans="1:2" x14ac:dyDescent="0.35">
      <c r="A85" s="20" t="s">
        <v>240</v>
      </c>
    </row>
    <row r="86" spans="1:2" x14ac:dyDescent="0.35">
      <c r="A86" t="s">
        <v>241</v>
      </c>
      <c r="B86">
        <v>3</v>
      </c>
    </row>
    <row r="87" spans="1:2" x14ac:dyDescent="0.35">
      <c r="A87" s="20" t="s">
        <v>242</v>
      </c>
      <c r="B87">
        <v>0</v>
      </c>
    </row>
  </sheetData>
  <autoFilter ref="A1:AT45" xr:uid="{1BEA0DF4-97DD-49C9-808D-BFA4773829C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8CB5-BD11-449A-9B27-417812C4BA3E}">
  <dimension ref="A1:V45"/>
  <sheetViews>
    <sheetView zoomScale="64" zoomScaleNormal="64" workbookViewId="0">
      <selection activeCell="V26" sqref="V26"/>
    </sheetView>
  </sheetViews>
  <sheetFormatPr defaultRowHeight="14.5" x14ac:dyDescent="0.35"/>
  <cols>
    <col min="1" max="1" width="8.36328125" customWidth="1"/>
    <col min="13" max="13" width="37.81640625" bestFit="1" customWidth="1"/>
    <col min="16" max="16" width="17.08984375" customWidth="1"/>
    <col min="17" max="18" width="9.453125" bestFit="1" customWidth="1"/>
    <col min="19" max="19" width="10.453125" bestFit="1" customWidth="1"/>
    <col min="20" max="20" width="9.453125" bestFit="1" customWidth="1"/>
    <col min="21" max="22" width="10.453125" bestFit="1" customWidth="1"/>
  </cols>
  <sheetData>
    <row r="1" spans="1:17" ht="15" thickBot="1" x14ac:dyDescent="0.4">
      <c r="A1" s="23" t="s">
        <v>33</v>
      </c>
      <c r="L1" s="14" t="s">
        <v>46</v>
      </c>
      <c r="M1" s="15" t="s">
        <v>70</v>
      </c>
      <c r="N1" t="s">
        <v>215</v>
      </c>
      <c r="P1" t="s">
        <v>254</v>
      </c>
    </row>
    <row r="2" spans="1:17" x14ac:dyDescent="0.35">
      <c r="A2" s="20">
        <v>3</v>
      </c>
      <c r="B2">
        <v>15</v>
      </c>
      <c r="C2">
        <v>17</v>
      </c>
      <c r="L2" s="7">
        <v>1</v>
      </c>
      <c r="M2" s="16" t="s">
        <v>96</v>
      </c>
      <c r="N2">
        <f t="shared" ref="N2:N37" si="0">COUNTIF($A$2:$I$45,L2)</f>
        <v>0</v>
      </c>
      <c r="P2" t="s">
        <v>252</v>
      </c>
      <c r="Q2" t="s">
        <v>253</v>
      </c>
    </row>
    <row r="3" spans="1:17" x14ac:dyDescent="0.35">
      <c r="A3" s="20">
        <v>3</v>
      </c>
      <c r="B3">
        <v>8</v>
      </c>
      <c r="C3">
        <v>15</v>
      </c>
      <c r="D3">
        <v>17</v>
      </c>
      <c r="E3">
        <v>23</v>
      </c>
      <c r="L3" s="17">
        <v>6</v>
      </c>
      <c r="M3" s="18" t="s">
        <v>99</v>
      </c>
      <c r="N3">
        <f t="shared" si="0"/>
        <v>0</v>
      </c>
      <c r="P3" t="s">
        <v>76</v>
      </c>
      <c r="Q3">
        <v>42</v>
      </c>
    </row>
    <row r="4" spans="1:17" x14ac:dyDescent="0.35">
      <c r="A4" s="20">
        <v>3</v>
      </c>
      <c r="B4">
        <v>9</v>
      </c>
      <c r="C4">
        <v>10</v>
      </c>
      <c r="D4">
        <v>13</v>
      </c>
      <c r="E4">
        <v>15</v>
      </c>
      <c r="F4">
        <v>17</v>
      </c>
      <c r="L4" s="17">
        <v>7</v>
      </c>
      <c r="M4" s="18" t="s">
        <v>100</v>
      </c>
      <c r="N4">
        <f t="shared" si="0"/>
        <v>0</v>
      </c>
      <c r="P4" t="s">
        <v>117</v>
      </c>
      <c r="Q4">
        <v>25</v>
      </c>
    </row>
    <row r="5" spans="1:17" x14ac:dyDescent="0.35">
      <c r="A5" s="20">
        <v>3</v>
      </c>
      <c r="B5">
        <v>17</v>
      </c>
      <c r="L5" s="9">
        <v>16</v>
      </c>
      <c r="M5" s="18" t="s">
        <v>102</v>
      </c>
      <c r="N5">
        <f t="shared" si="0"/>
        <v>0</v>
      </c>
      <c r="P5" t="s">
        <v>72</v>
      </c>
      <c r="Q5">
        <v>22</v>
      </c>
    </row>
    <row r="6" spans="1:17" x14ac:dyDescent="0.35">
      <c r="A6" s="20">
        <v>3</v>
      </c>
      <c r="B6">
        <v>9</v>
      </c>
      <c r="C6">
        <v>13</v>
      </c>
      <c r="D6">
        <v>32</v>
      </c>
      <c r="E6">
        <v>33</v>
      </c>
      <c r="L6" s="9">
        <v>19</v>
      </c>
      <c r="M6" s="18" t="s">
        <v>113</v>
      </c>
      <c r="N6">
        <f t="shared" si="0"/>
        <v>0</v>
      </c>
      <c r="P6" t="s">
        <v>71</v>
      </c>
      <c r="Q6">
        <v>7</v>
      </c>
    </row>
    <row r="7" spans="1:17" x14ac:dyDescent="0.35">
      <c r="A7" s="20">
        <v>3</v>
      </c>
      <c r="B7">
        <v>9</v>
      </c>
      <c r="C7">
        <v>10</v>
      </c>
      <c r="D7">
        <v>11</v>
      </c>
      <c r="E7">
        <v>13</v>
      </c>
      <c r="L7" s="9">
        <v>20</v>
      </c>
      <c r="M7" s="18" t="s">
        <v>114</v>
      </c>
      <c r="N7">
        <f t="shared" si="0"/>
        <v>0</v>
      </c>
    </row>
    <row r="8" spans="1:17" x14ac:dyDescent="0.35">
      <c r="A8" s="20">
        <v>10</v>
      </c>
      <c r="B8">
        <v>11</v>
      </c>
      <c r="C8">
        <v>17</v>
      </c>
      <c r="L8" s="9">
        <v>25</v>
      </c>
      <c r="M8" s="18" t="s">
        <v>84</v>
      </c>
      <c r="N8">
        <f t="shared" si="0"/>
        <v>0</v>
      </c>
    </row>
    <row r="9" spans="1:17" x14ac:dyDescent="0.35">
      <c r="A9" s="20">
        <v>3</v>
      </c>
      <c r="B9">
        <v>9</v>
      </c>
      <c r="C9">
        <v>13</v>
      </c>
      <c r="L9" s="9">
        <v>26</v>
      </c>
      <c r="M9" s="18" t="s">
        <v>127</v>
      </c>
      <c r="N9">
        <f t="shared" si="0"/>
        <v>0</v>
      </c>
      <c r="P9" t="s">
        <v>255</v>
      </c>
    </row>
    <row r="10" spans="1:17" x14ac:dyDescent="0.35">
      <c r="A10" s="20">
        <v>2</v>
      </c>
      <c r="B10">
        <v>3</v>
      </c>
      <c r="L10" s="9">
        <v>28</v>
      </c>
      <c r="M10" s="18" t="s">
        <v>129</v>
      </c>
      <c r="N10">
        <f t="shared" si="0"/>
        <v>0</v>
      </c>
      <c r="P10" t="s">
        <v>76</v>
      </c>
      <c r="Q10">
        <v>42</v>
      </c>
    </row>
    <row r="11" spans="1:17" x14ac:dyDescent="0.35">
      <c r="A11" s="20">
        <v>3</v>
      </c>
      <c r="B11">
        <v>4</v>
      </c>
      <c r="C11">
        <v>9</v>
      </c>
      <c r="D11">
        <v>13</v>
      </c>
      <c r="E11">
        <v>17</v>
      </c>
      <c r="L11" s="9">
        <v>29</v>
      </c>
      <c r="M11" s="18" t="s">
        <v>124</v>
      </c>
      <c r="N11">
        <f t="shared" si="0"/>
        <v>0</v>
      </c>
      <c r="P11" t="s">
        <v>117</v>
      </c>
      <c r="Q11">
        <v>25</v>
      </c>
    </row>
    <row r="12" spans="1:17" x14ac:dyDescent="0.35">
      <c r="A12" s="20">
        <v>3</v>
      </c>
      <c r="B12">
        <v>8</v>
      </c>
      <c r="C12">
        <v>13</v>
      </c>
      <c r="D12">
        <v>14</v>
      </c>
      <c r="E12">
        <v>17</v>
      </c>
      <c r="L12" s="9">
        <v>30</v>
      </c>
      <c r="M12" s="18" t="s">
        <v>125</v>
      </c>
      <c r="N12">
        <f t="shared" si="0"/>
        <v>0</v>
      </c>
    </row>
    <row r="13" spans="1:17" x14ac:dyDescent="0.35">
      <c r="A13" s="20">
        <v>3</v>
      </c>
      <c r="B13">
        <v>8</v>
      </c>
      <c r="L13" s="9">
        <v>31</v>
      </c>
      <c r="M13" s="18" t="s">
        <v>126</v>
      </c>
      <c r="N13">
        <f t="shared" si="0"/>
        <v>0</v>
      </c>
    </row>
    <row r="14" spans="1:17" x14ac:dyDescent="0.35">
      <c r="A14" s="20">
        <v>3</v>
      </c>
      <c r="B14">
        <v>17</v>
      </c>
      <c r="L14" s="9">
        <v>99</v>
      </c>
      <c r="M14" s="18" t="s">
        <v>115</v>
      </c>
      <c r="N14">
        <f t="shared" si="0"/>
        <v>0</v>
      </c>
      <c r="P14" t="s">
        <v>256</v>
      </c>
    </row>
    <row r="15" spans="1:17" x14ac:dyDescent="0.35">
      <c r="A15" s="20">
        <v>3</v>
      </c>
      <c r="B15">
        <v>10</v>
      </c>
      <c r="C15">
        <v>13</v>
      </c>
      <c r="D15">
        <v>14</v>
      </c>
      <c r="E15">
        <v>17</v>
      </c>
      <c r="F15">
        <v>21</v>
      </c>
      <c r="L15" s="9">
        <v>18</v>
      </c>
      <c r="M15" s="18" t="s">
        <v>112</v>
      </c>
      <c r="N15">
        <f t="shared" si="0"/>
        <v>1</v>
      </c>
      <c r="P15" t="s">
        <v>257</v>
      </c>
    </row>
    <row r="16" spans="1:17" x14ac:dyDescent="0.35">
      <c r="A16" s="20">
        <v>3</v>
      </c>
      <c r="B16">
        <v>9</v>
      </c>
      <c r="C16">
        <v>10</v>
      </c>
      <c r="D16">
        <v>12</v>
      </c>
      <c r="E16">
        <v>13</v>
      </c>
      <c r="F16">
        <v>17</v>
      </c>
      <c r="G16">
        <v>23</v>
      </c>
      <c r="H16">
        <v>27</v>
      </c>
      <c r="L16" s="9">
        <v>21</v>
      </c>
      <c r="M16" s="18" t="s">
        <v>103</v>
      </c>
      <c r="N16">
        <f t="shared" si="0"/>
        <v>1</v>
      </c>
    </row>
    <row r="17" spans="1:22" x14ac:dyDescent="0.35">
      <c r="A17" s="20">
        <v>3</v>
      </c>
      <c r="B17">
        <v>13</v>
      </c>
      <c r="C17">
        <v>34</v>
      </c>
      <c r="D17">
        <v>35</v>
      </c>
      <c r="L17" s="9">
        <v>22</v>
      </c>
      <c r="M17" s="18" t="s">
        <v>79</v>
      </c>
      <c r="N17">
        <f t="shared" si="0"/>
        <v>1</v>
      </c>
    </row>
    <row r="18" spans="1:22" x14ac:dyDescent="0.35">
      <c r="A18" s="20">
        <v>3</v>
      </c>
      <c r="B18">
        <v>8</v>
      </c>
      <c r="C18">
        <v>13</v>
      </c>
      <c r="D18">
        <v>15</v>
      </c>
      <c r="E18">
        <v>17</v>
      </c>
      <c r="F18">
        <v>23</v>
      </c>
      <c r="L18" s="9">
        <v>27</v>
      </c>
      <c r="M18" s="18" t="s">
        <v>128</v>
      </c>
      <c r="N18">
        <f t="shared" si="0"/>
        <v>1</v>
      </c>
      <c r="P18" t="s">
        <v>258</v>
      </c>
    </row>
    <row r="19" spans="1:22" x14ac:dyDescent="0.35">
      <c r="A19" s="20">
        <v>3</v>
      </c>
      <c r="B19">
        <v>9</v>
      </c>
      <c r="C19">
        <v>13</v>
      </c>
      <c r="D19">
        <v>17</v>
      </c>
      <c r="L19" s="9">
        <v>32</v>
      </c>
      <c r="M19" s="18" t="s">
        <v>201</v>
      </c>
      <c r="N19">
        <f t="shared" si="0"/>
        <v>1</v>
      </c>
      <c r="P19" t="s">
        <v>259</v>
      </c>
      <c r="Q19">
        <v>12.45</v>
      </c>
    </row>
    <row r="20" spans="1:22" x14ac:dyDescent="0.35">
      <c r="A20" s="20">
        <v>2</v>
      </c>
      <c r="B20">
        <v>3</v>
      </c>
      <c r="L20" s="9">
        <v>33</v>
      </c>
      <c r="M20" s="18" t="s">
        <v>202</v>
      </c>
      <c r="N20">
        <f t="shared" si="0"/>
        <v>1</v>
      </c>
    </row>
    <row r="21" spans="1:22" x14ac:dyDescent="0.35">
      <c r="A21" s="20">
        <v>3</v>
      </c>
      <c r="B21">
        <v>9</v>
      </c>
      <c r="C21">
        <v>10</v>
      </c>
      <c r="D21">
        <v>11</v>
      </c>
      <c r="E21">
        <v>13</v>
      </c>
      <c r="L21" s="9">
        <v>34</v>
      </c>
      <c r="M21" s="18" t="s">
        <v>203</v>
      </c>
      <c r="N21">
        <f t="shared" si="0"/>
        <v>1</v>
      </c>
      <c r="P21" t="s">
        <v>261</v>
      </c>
    </row>
    <row r="22" spans="1:22" x14ac:dyDescent="0.35">
      <c r="A22" s="20">
        <v>3</v>
      </c>
      <c r="B22">
        <v>9</v>
      </c>
      <c r="C22">
        <v>13</v>
      </c>
      <c r="D22">
        <v>17</v>
      </c>
      <c r="L22" s="9">
        <v>35</v>
      </c>
      <c r="M22" s="18" t="s">
        <v>204</v>
      </c>
      <c r="N22">
        <f t="shared" si="0"/>
        <v>1</v>
      </c>
      <c r="P22" s="20" t="s">
        <v>176</v>
      </c>
      <c r="Q22">
        <v>12.36</v>
      </c>
    </row>
    <row r="23" spans="1:22" x14ac:dyDescent="0.35">
      <c r="A23" s="20">
        <v>3</v>
      </c>
      <c r="B23">
        <v>9</v>
      </c>
      <c r="C23">
        <v>10</v>
      </c>
      <c r="D23">
        <v>11</v>
      </c>
      <c r="E23">
        <v>15</v>
      </c>
      <c r="F23">
        <v>17</v>
      </c>
      <c r="G23">
        <v>22</v>
      </c>
      <c r="H23">
        <v>23</v>
      </c>
      <c r="L23" s="17">
        <v>5</v>
      </c>
      <c r="M23" s="18" t="s">
        <v>82</v>
      </c>
      <c r="N23">
        <f t="shared" si="0"/>
        <v>2</v>
      </c>
      <c r="P23" s="20" t="s">
        <v>177</v>
      </c>
      <c r="Q23" s="28">
        <v>12.578947368421053</v>
      </c>
    </row>
    <row r="24" spans="1:22" x14ac:dyDescent="0.35">
      <c r="A24" s="20">
        <v>3</v>
      </c>
      <c r="B24">
        <v>13</v>
      </c>
      <c r="L24" s="17">
        <v>2</v>
      </c>
      <c r="M24" s="18" t="s">
        <v>97</v>
      </c>
      <c r="N24">
        <f t="shared" si="0"/>
        <v>3</v>
      </c>
    </row>
    <row r="25" spans="1:22" x14ac:dyDescent="0.35">
      <c r="A25" s="20">
        <v>13</v>
      </c>
      <c r="L25" s="17">
        <v>4</v>
      </c>
      <c r="M25" s="18" t="s">
        <v>98</v>
      </c>
      <c r="N25">
        <f t="shared" si="0"/>
        <v>3</v>
      </c>
      <c r="P25" t="s">
        <v>262</v>
      </c>
      <c r="Q25" t="s">
        <v>263</v>
      </c>
      <c r="R25" t="s">
        <v>264</v>
      </c>
      <c r="S25" t="s">
        <v>265</v>
      </c>
      <c r="T25" t="s">
        <v>266</v>
      </c>
      <c r="U25" t="s">
        <v>267</v>
      </c>
      <c r="V25" t="s">
        <v>268</v>
      </c>
    </row>
    <row r="26" spans="1:22" x14ac:dyDescent="0.35">
      <c r="A26" s="20">
        <v>2</v>
      </c>
      <c r="B26">
        <v>3</v>
      </c>
      <c r="C26">
        <v>14</v>
      </c>
      <c r="D26">
        <v>23</v>
      </c>
      <c r="E26">
        <v>24</v>
      </c>
      <c r="L26" s="9">
        <v>24</v>
      </c>
      <c r="M26" s="18" t="s">
        <v>104</v>
      </c>
      <c r="N26">
        <f t="shared" si="0"/>
        <v>3</v>
      </c>
      <c r="P26" s="30">
        <v>23.161363636363635</v>
      </c>
      <c r="Q26" s="30">
        <v>9.8568181818181824</v>
      </c>
      <c r="R26" s="30">
        <v>9.0613636363636356</v>
      </c>
      <c r="S26" s="30">
        <v>12.536363636363637</v>
      </c>
      <c r="T26" s="30">
        <v>9.1522727272727273</v>
      </c>
      <c r="U26" s="30">
        <v>13.025</v>
      </c>
      <c r="V26" s="30">
        <v>23.206818181818182</v>
      </c>
    </row>
    <row r="27" spans="1:22" x14ac:dyDescent="0.35">
      <c r="A27" s="20">
        <v>3</v>
      </c>
      <c r="B27">
        <v>5</v>
      </c>
      <c r="C27">
        <v>8</v>
      </c>
      <c r="D27">
        <v>12</v>
      </c>
      <c r="L27" s="9">
        <v>14</v>
      </c>
      <c r="M27" s="18" t="s">
        <v>73</v>
      </c>
      <c r="N27">
        <f t="shared" si="0"/>
        <v>5</v>
      </c>
    </row>
    <row r="28" spans="1:22" x14ac:dyDescent="0.35">
      <c r="A28" s="20">
        <v>3</v>
      </c>
      <c r="B28">
        <v>9</v>
      </c>
      <c r="C28">
        <v>13</v>
      </c>
      <c r="D28">
        <v>14</v>
      </c>
      <c r="E28">
        <v>15</v>
      </c>
      <c r="F28">
        <v>17</v>
      </c>
      <c r="L28" s="9">
        <v>15</v>
      </c>
      <c r="M28" s="18" t="s">
        <v>74</v>
      </c>
      <c r="N28">
        <f t="shared" si="0"/>
        <v>6</v>
      </c>
    </row>
    <row r="29" spans="1:22" x14ac:dyDescent="0.35">
      <c r="A29" s="20">
        <v>3</v>
      </c>
      <c r="B29">
        <v>4</v>
      </c>
      <c r="C29">
        <v>8</v>
      </c>
      <c r="D29">
        <v>9</v>
      </c>
      <c r="E29">
        <v>12</v>
      </c>
      <c r="F29">
        <v>13</v>
      </c>
      <c r="G29">
        <v>17</v>
      </c>
      <c r="L29" s="17">
        <v>11</v>
      </c>
      <c r="M29" s="18" t="s">
        <v>71</v>
      </c>
      <c r="N29">
        <f t="shared" si="0"/>
        <v>7</v>
      </c>
    </row>
    <row r="30" spans="1:22" x14ac:dyDescent="0.35">
      <c r="A30" s="20">
        <v>3</v>
      </c>
      <c r="B30">
        <v>8</v>
      </c>
      <c r="C30">
        <v>9</v>
      </c>
      <c r="D30">
        <v>10</v>
      </c>
      <c r="E30">
        <v>12</v>
      </c>
      <c r="F30">
        <v>13</v>
      </c>
      <c r="G30">
        <v>17</v>
      </c>
      <c r="H30">
        <v>23</v>
      </c>
      <c r="I30">
        <v>24</v>
      </c>
      <c r="L30" s="17">
        <v>12</v>
      </c>
      <c r="M30" s="18" t="s">
        <v>101</v>
      </c>
      <c r="N30">
        <f t="shared" si="0"/>
        <v>7</v>
      </c>
    </row>
    <row r="31" spans="1:22" x14ac:dyDescent="0.35">
      <c r="A31" s="20">
        <v>3</v>
      </c>
      <c r="B31">
        <v>9</v>
      </c>
      <c r="C31">
        <v>13</v>
      </c>
      <c r="L31" s="9">
        <v>23</v>
      </c>
      <c r="M31" s="18" t="s">
        <v>75</v>
      </c>
      <c r="N31">
        <f t="shared" si="0"/>
        <v>9</v>
      </c>
    </row>
    <row r="32" spans="1:22" x14ac:dyDescent="0.35">
      <c r="A32" s="20">
        <v>3</v>
      </c>
      <c r="B32">
        <v>18</v>
      </c>
      <c r="L32" s="17">
        <v>8</v>
      </c>
      <c r="M32" s="18" t="s">
        <v>77</v>
      </c>
      <c r="N32">
        <f t="shared" si="0"/>
        <v>10</v>
      </c>
    </row>
    <row r="33" spans="1:14" x14ac:dyDescent="0.35">
      <c r="A33" s="20">
        <v>3</v>
      </c>
      <c r="B33">
        <v>10</v>
      </c>
      <c r="C33">
        <v>13</v>
      </c>
      <c r="D33">
        <v>17</v>
      </c>
      <c r="L33" s="17">
        <v>10</v>
      </c>
      <c r="M33" s="18" t="s">
        <v>116</v>
      </c>
      <c r="N33">
        <f t="shared" si="0"/>
        <v>10</v>
      </c>
    </row>
    <row r="34" spans="1:14" x14ac:dyDescent="0.35">
      <c r="A34" s="20">
        <v>3</v>
      </c>
      <c r="B34">
        <v>8</v>
      </c>
      <c r="L34" s="17">
        <v>9</v>
      </c>
      <c r="M34" s="18" t="s">
        <v>80</v>
      </c>
      <c r="N34">
        <f t="shared" si="0"/>
        <v>17</v>
      </c>
    </row>
    <row r="35" spans="1:14" x14ac:dyDescent="0.35">
      <c r="A35" s="20">
        <v>3</v>
      </c>
      <c r="B35">
        <v>24</v>
      </c>
      <c r="L35" s="9">
        <v>17</v>
      </c>
      <c r="M35" s="18" t="s">
        <v>72</v>
      </c>
      <c r="N35">
        <f t="shared" si="0"/>
        <v>22</v>
      </c>
    </row>
    <row r="36" spans="1:14" x14ac:dyDescent="0.35">
      <c r="A36" s="20">
        <v>3</v>
      </c>
      <c r="B36">
        <v>12</v>
      </c>
      <c r="C36">
        <v>17</v>
      </c>
      <c r="L36" s="9">
        <v>13</v>
      </c>
      <c r="M36" s="18" t="s">
        <v>117</v>
      </c>
      <c r="N36">
        <f t="shared" si="0"/>
        <v>25</v>
      </c>
    </row>
    <row r="37" spans="1:14" ht="15" thickBot="1" x14ac:dyDescent="0.4">
      <c r="A37" s="20">
        <v>3</v>
      </c>
      <c r="L37" s="29">
        <v>3</v>
      </c>
      <c r="M37" s="19" t="s">
        <v>76</v>
      </c>
      <c r="N37">
        <f t="shared" si="0"/>
        <v>42</v>
      </c>
    </row>
    <row r="38" spans="1:14" x14ac:dyDescent="0.35">
      <c r="A38" s="20">
        <v>3</v>
      </c>
      <c r="B38">
        <v>4</v>
      </c>
      <c r="C38">
        <v>5</v>
      </c>
      <c r="D38">
        <v>9</v>
      </c>
      <c r="E38">
        <v>10</v>
      </c>
      <c r="F38">
        <v>11</v>
      </c>
      <c r="G38">
        <v>13</v>
      </c>
      <c r="H38">
        <v>17</v>
      </c>
      <c r="I38">
        <v>23</v>
      </c>
    </row>
    <row r="39" spans="1:14" x14ac:dyDescent="0.35">
      <c r="A39" s="20">
        <v>3</v>
      </c>
      <c r="B39">
        <v>12</v>
      </c>
      <c r="C39">
        <v>13</v>
      </c>
      <c r="D39">
        <v>17</v>
      </c>
      <c r="E39">
        <v>23</v>
      </c>
    </row>
    <row r="40" spans="1:14" x14ac:dyDescent="0.35">
      <c r="A40" s="20">
        <v>3</v>
      </c>
      <c r="B40">
        <v>9</v>
      </c>
      <c r="C40">
        <v>11</v>
      </c>
      <c r="D40">
        <v>13</v>
      </c>
      <c r="E40">
        <v>17</v>
      </c>
    </row>
    <row r="41" spans="1:14" x14ac:dyDescent="0.35">
      <c r="A41" s="20">
        <v>3</v>
      </c>
      <c r="B41">
        <v>8</v>
      </c>
    </row>
    <row r="42" spans="1:14" x14ac:dyDescent="0.35">
      <c r="A42" s="20">
        <v>3</v>
      </c>
      <c r="B42">
        <v>8</v>
      </c>
      <c r="C42">
        <v>23</v>
      </c>
    </row>
    <row r="43" spans="1:14" x14ac:dyDescent="0.35">
      <c r="A43" s="20">
        <v>3</v>
      </c>
    </row>
    <row r="44" spans="1:14" x14ac:dyDescent="0.35">
      <c r="A44" s="20">
        <v>3</v>
      </c>
      <c r="B44">
        <v>9</v>
      </c>
      <c r="C44">
        <v>11</v>
      </c>
      <c r="D44">
        <v>13</v>
      </c>
      <c r="E44">
        <v>14</v>
      </c>
    </row>
    <row r="45" spans="1:14" x14ac:dyDescent="0.35">
      <c r="A45" s="20">
        <v>3</v>
      </c>
      <c r="B45">
        <v>12</v>
      </c>
      <c r="C45">
        <v>13</v>
      </c>
    </row>
  </sheetData>
  <sortState xmlns:xlrd2="http://schemas.microsoft.com/office/spreadsheetml/2017/richdata2" ref="L2:N37">
    <sortCondition ref="N1:N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27E5-6F5D-4858-AB90-A5A0AADA4114}">
  <dimension ref="A1:O45"/>
  <sheetViews>
    <sheetView tabSelected="1" workbookViewId="0">
      <selection activeCell="Q38" sqref="Q38"/>
    </sheetView>
  </sheetViews>
  <sheetFormatPr defaultRowHeight="14.5" x14ac:dyDescent="0.35"/>
  <cols>
    <col min="1" max="1" width="21.6328125" bestFit="1" customWidth="1"/>
    <col min="15" max="15" width="19" customWidth="1"/>
  </cols>
  <sheetData>
    <row r="1" spans="1:15" x14ac:dyDescent="0.35">
      <c r="A1" t="s">
        <v>243</v>
      </c>
      <c r="B1" t="s">
        <v>236</v>
      </c>
    </row>
    <row r="2" spans="1:15" x14ac:dyDescent="0.35">
      <c r="A2" s="6" t="s">
        <v>67</v>
      </c>
      <c r="B2" s="28">
        <v>1.6363636363636365</v>
      </c>
      <c r="N2" s="28">
        <v>1.6363636363636365</v>
      </c>
      <c r="O2" s="6" t="s">
        <v>67</v>
      </c>
    </row>
    <row r="3" spans="1:15" x14ac:dyDescent="0.35">
      <c r="A3" s="6" t="s">
        <v>61</v>
      </c>
      <c r="B3" s="28">
        <v>1.8409090909090908</v>
      </c>
      <c r="N3" s="28">
        <v>1.8409090909090908</v>
      </c>
      <c r="O3" s="6" t="s">
        <v>61</v>
      </c>
    </row>
    <row r="4" spans="1:15" x14ac:dyDescent="0.35">
      <c r="A4" s="6" t="s">
        <v>60</v>
      </c>
      <c r="B4" s="28">
        <v>1.8636363636363635</v>
      </c>
      <c r="N4" s="28">
        <v>1.8636363636363635</v>
      </c>
      <c r="O4" s="6" t="s">
        <v>60</v>
      </c>
    </row>
    <row r="5" spans="1:15" x14ac:dyDescent="0.35">
      <c r="A5" s="6" t="s">
        <v>91</v>
      </c>
      <c r="B5" s="28">
        <v>1.9772727272727273</v>
      </c>
      <c r="N5" s="28">
        <v>1.9772727272727273</v>
      </c>
      <c r="O5" s="6" t="s">
        <v>91</v>
      </c>
    </row>
    <row r="6" spans="1:15" x14ac:dyDescent="0.35">
      <c r="A6" s="6" t="s">
        <v>57</v>
      </c>
      <c r="B6" s="28">
        <v>2</v>
      </c>
      <c r="N6" s="28">
        <v>2</v>
      </c>
      <c r="O6" s="6" t="s">
        <v>57</v>
      </c>
    </row>
    <row r="7" spans="1:15" x14ac:dyDescent="0.35">
      <c r="A7" s="6" t="s">
        <v>55</v>
      </c>
      <c r="B7" s="28">
        <v>2.0454545454545454</v>
      </c>
      <c r="N7" s="28">
        <v>2.0454545454545454</v>
      </c>
      <c r="O7" s="6" t="s">
        <v>55</v>
      </c>
    </row>
    <row r="8" spans="1:15" x14ac:dyDescent="0.35">
      <c r="A8" s="6" t="s">
        <v>51</v>
      </c>
      <c r="B8" s="28">
        <v>2.0681818181818183</v>
      </c>
      <c r="N8" s="28">
        <v>2.0681818181818183</v>
      </c>
      <c r="O8" s="6" t="s">
        <v>51</v>
      </c>
    </row>
    <row r="9" spans="1:15" x14ac:dyDescent="0.35">
      <c r="A9" s="6" t="s">
        <v>120</v>
      </c>
      <c r="B9" s="28">
        <v>2.0681818181818183</v>
      </c>
      <c r="N9" s="28">
        <v>2.0681818181818183</v>
      </c>
      <c r="O9" s="6" t="s">
        <v>120</v>
      </c>
    </row>
    <row r="10" spans="1:15" x14ac:dyDescent="0.35">
      <c r="A10" s="6" t="s">
        <v>63</v>
      </c>
      <c r="B10" s="28">
        <v>2.1136363636363638</v>
      </c>
      <c r="N10" s="28">
        <v>2.1136363636363638</v>
      </c>
      <c r="O10" s="6" t="s">
        <v>63</v>
      </c>
    </row>
    <row r="11" spans="1:15" x14ac:dyDescent="0.35">
      <c r="A11" s="6" t="s">
        <v>58</v>
      </c>
      <c r="B11" s="28">
        <v>2.1363636363636362</v>
      </c>
      <c r="N11" s="28">
        <v>2.1363636363636362</v>
      </c>
      <c r="O11" s="6" t="s">
        <v>58</v>
      </c>
    </row>
    <row r="12" spans="1:15" x14ac:dyDescent="0.35">
      <c r="A12" s="13" t="s">
        <v>66</v>
      </c>
      <c r="B12" s="28">
        <v>2.2272727272727271</v>
      </c>
      <c r="N12" s="28">
        <v>2.2272727272727271</v>
      </c>
      <c r="O12" s="13" t="s">
        <v>66</v>
      </c>
    </row>
    <row r="13" spans="1:15" x14ac:dyDescent="0.35">
      <c r="A13" s="6" t="s">
        <v>64</v>
      </c>
      <c r="B13" s="28">
        <v>2.2954545454545454</v>
      </c>
      <c r="N13" s="28">
        <v>2.2954545454545454</v>
      </c>
      <c r="O13" s="6" t="s">
        <v>64</v>
      </c>
    </row>
    <row r="14" spans="1:15" x14ac:dyDescent="0.35">
      <c r="A14" s="6" t="s">
        <v>59</v>
      </c>
      <c r="B14" s="28">
        <v>2.3409090909090908</v>
      </c>
      <c r="N14" s="28">
        <v>2.3409090909090908</v>
      </c>
      <c r="O14" s="6" t="s">
        <v>59</v>
      </c>
    </row>
    <row r="15" spans="1:15" x14ac:dyDescent="0.35">
      <c r="A15" s="6" t="s">
        <v>62</v>
      </c>
      <c r="B15" s="28">
        <v>2.3409090909090908</v>
      </c>
      <c r="N15" s="28">
        <v>2.3409090909090908</v>
      </c>
      <c r="O15" s="6" t="s">
        <v>62</v>
      </c>
    </row>
    <row r="16" spans="1:15" x14ac:dyDescent="0.35">
      <c r="A16" s="6" t="s">
        <v>65</v>
      </c>
      <c r="B16" s="28">
        <v>2.5454545454545454</v>
      </c>
      <c r="N16" s="28">
        <v>2.5454545454545454</v>
      </c>
      <c r="O16" s="6" t="s">
        <v>65</v>
      </c>
    </row>
    <row r="17" spans="1:15" x14ac:dyDescent="0.35">
      <c r="A17" s="6" t="s">
        <v>53</v>
      </c>
      <c r="B17" s="28">
        <v>2.7272727272727271</v>
      </c>
      <c r="N17" s="28">
        <v>2.7272727272727271</v>
      </c>
      <c r="O17" s="6" t="s">
        <v>53</v>
      </c>
    </row>
    <row r="20" spans="1:15" x14ac:dyDescent="0.35">
      <c r="E20" t="s">
        <v>244</v>
      </c>
      <c r="G20" t="s">
        <v>246</v>
      </c>
    </row>
    <row r="21" spans="1:15" x14ac:dyDescent="0.35">
      <c r="E21" t="s">
        <v>245</v>
      </c>
      <c r="G21" t="s">
        <v>247</v>
      </c>
    </row>
    <row r="24" spans="1:15" x14ac:dyDescent="0.35">
      <c r="A24" s="6" t="s">
        <v>51</v>
      </c>
      <c r="B24" s="28">
        <v>2.9545454545454546</v>
      </c>
      <c r="N24" s="28">
        <v>2.9545454545454546</v>
      </c>
      <c r="O24" s="6" t="s">
        <v>67</v>
      </c>
    </row>
    <row r="25" spans="1:15" x14ac:dyDescent="0.35">
      <c r="A25" s="6" t="s">
        <v>53</v>
      </c>
      <c r="B25" s="28">
        <v>2.9772727272727271</v>
      </c>
      <c r="N25" s="28">
        <v>2.9772727272727271</v>
      </c>
      <c r="O25" s="6" t="s">
        <v>60</v>
      </c>
    </row>
    <row r="26" spans="1:15" x14ac:dyDescent="0.35">
      <c r="A26" s="6" t="s">
        <v>55</v>
      </c>
      <c r="B26" s="28">
        <v>3.0909090909090908</v>
      </c>
      <c r="N26" s="28">
        <v>3.0909090909090908</v>
      </c>
      <c r="O26" s="6" t="s">
        <v>57</v>
      </c>
    </row>
    <row r="27" spans="1:15" x14ac:dyDescent="0.35">
      <c r="A27" s="6" t="s">
        <v>57</v>
      </c>
      <c r="B27" s="28">
        <v>3.0909090909090908</v>
      </c>
      <c r="N27" s="28">
        <v>3.0909090909090908</v>
      </c>
      <c r="O27" s="6" t="s">
        <v>61</v>
      </c>
    </row>
    <row r="28" spans="1:15" x14ac:dyDescent="0.35">
      <c r="A28" s="6" t="s">
        <v>58</v>
      </c>
      <c r="B28" s="28">
        <v>3.1136363636363638</v>
      </c>
      <c r="N28" s="28">
        <v>3.1136363636363638</v>
      </c>
      <c r="O28" s="6" t="s">
        <v>58</v>
      </c>
    </row>
    <row r="29" spans="1:15" x14ac:dyDescent="0.35">
      <c r="A29" s="6" t="s">
        <v>59</v>
      </c>
      <c r="B29" s="28">
        <v>3.1136363636363638</v>
      </c>
      <c r="N29" s="28">
        <v>3.1136363636363638</v>
      </c>
      <c r="O29" s="6" t="s">
        <v>59</v>
      </c>
    </row>
    <row r="30" spans="1:15" x14ac:dyDescent="0.35">
      <c r="A30" s="6" t="s">
        <v>60</v>
      </c>
      <c r="B30" s="28">
        <v>3.2045454545454546</v>
      </c>
      <c r="N30" s="28">
        <v>3.2045454545454546</v>
      </c>
      <c r="O30" s="6" t="s">
        <v>62</v>
      </c>
    </row>
    <row r="31" spans="1:15" x14ac:dyDescent="0.35">
      <c r="A31" s="6" t="s">
        <v>61</v>
      </c>
      <c r="B31" s="28">
        <v>3.2045454545454546</v>
      </c>
      <c r="N31" s="28">
        <v>3.2045454545454546</v>
      </c>
      <c r="O31" s="6" t="s">
        <v>120</v>
      </c>
    </row>
    <row r="32" spans="1:15" x14ac:dyDescent="0.35">
      <c r="A32" s="6" t="s">
        <v>62</v>
      </c>
      <c r="B32" s="28">
        <v>3.2954545454545454</v>
      </c>
      <c r="N32" s="28">
        <v>3.2954545454545454</v>
      </c>
      <c r="O32" s="6" t="s">
        <v>91</v>
      </c>
    </row>
    <row r="33" spans="1:15" x14ac:dyDescent="0.35">
      <c r="A33" s="6" t="s">
        <v>63</v>
      </c>
      <c r="B33" s="28">
        <v>3.3181818181818183</v>
      </c>
      <c r="N33" s="28">
        <v>3.3181818181818183</v>
      </c>
      <c r="O33" s="6" t="s">
        <v>64</v>
      </c>
    </row>
    <row r="34" spans="1:15" x14ac:dyDescent="0.35">
      <c r="A34" s="13" t="s">
        <v>64</v>
      </c>
      <c r="B34" s="28">
        <v>3.3863636363636362</v>
      </c>
      <c r="N34" s="28">
        <v>3.3863636363636362</v>
      </c>
      <c r="O34" s="13" t="s">
        <v>63</v>
      </c>
    </row>
    <row r="35" spans="1:15" x14ac:dyDescent="0.35">
      <c r="A35" s="6" t="s">
        <v>65</v>
      </c>
      <c r="B35" s="28">
        <v>3.4090909090909092</v>
      </c>
      <c r="N35" s="28">
        <v>3.4090909090909092</v>
      </c>
      <c r="O35" s="6" t="s">
        <v>51</v>
      </c>
    </row>
    <row r="36" spans="1:15" x14ac:dyDescent="0.35">
      <c r="A36" s="6" t="s">
        <v>66</v>
      </c>
      <c r="B36" s="28">
        <v>3.4090909090909092</v>
      </c>
      <c r="N36" s="28">
        <v>3.4090909090909092</v>
      </c>
      <c r="O36" s="6" t="s">
        <v>53</v>
      </c>
    </row>
    <row r="37" spans="1:15" x14ac:dyDescent="0.35">
      <c r="A37" s="6" t="s">
        <v>91</v>
      </c>
      <c r="B37" s="28">
        <v>3.4318181818181817</v>
      </c>
      <c r="N37" s="28">
        <v>3.4318181818181817</v>
      </c>
      <c r="O37" s="6" t="s">
        <v>55</v>
      </c>
    </row>
    <row r="38" spans="1:15" x14ac:dyDescent="0.35">
      <c r="A38" s="6" t="s">
        <v>67</v>
      </c>
      <c r="B38" s="28">
        <v>3.4772727272727271</v>
      </c>
      <c r="N38" s="28">
        <v>3.4772727272727271</v>
      </c>
      <c r="O38" s="6" t="s">
        <v>66</v>
      </c>
    </row>
    <row r="39" spans="1:15" x14ac:dyDescent="0.35">
      <c r="A39" s="6" t="s">
        <v>120</v>
      </c>
      <c r="B39" s="28">
        <v>3.5681818181818183</v>
      </c>
      <c r="N39" s="28">
        <v>3.5681818181818183</v>
      </c>
      <c r="O39" s="6" t="s">
        <v>65</v>
      </c>
    </row>
    <row r="42" spans="1:15" x14ac:dyDescent="0.35">
      <c r="D42" t="s">
        <v>248</v>
      </c>
    </row>
    <row r="43" spans="1:15" x14ac:dyDescent="0.35">
      <c r="D43" t="s">
        <v>251</v>
      </c>
    </row>
    <row r="44" spans="1:15" x14ac:dyDescent="0.35">
      <c r="D44" t="s">
        <v>250</v>
      </c>
    </row>
    <row r="45" spans="1:15" x14ac:dyDescent="0.35">
      <c r="D45" t="s">
        <v>249</v>
      </c>
    </row>
  </sheetData>
  <sortState xmlns:xlrd2="http://schemas.microsoft.com/office/spreadsheetml/2017/richdata2" ref="N24:O39">
    <sortCondition ref="N24:N39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"/>
  <sheetViews>
    <sheetView topLeftCell="B25" zoomScaleNormal="100" workbookViewId="0">
      <selection activeCell="D30" sqref="D30"/>
    </sheetView>
  </sheetViews>
  <sheetFormatPr defaultRowHeight="14.5" x14ac:dyDescent="0.35"/>
  <cols>
    <col min="1" max="1" width="14.453125" customWidth="1"/>
    <col min="2" max="2" width="31.453125" customWidth="1"/>
    <col min="3" max="3" width="42.26953125" customWidth="1"/>
    <col min="4" max="4" width="25.26953125" bestFit="1" customWidth="1"/>
    <col min="6" max="6" width="21.81640625" customWidth="1"/>
    <col min="7" max="7" width="41.26953125" style="5" bestFit="1" customWidth="1"/>
    <col min="8" max="8" width="23.54296875" bestFit="1" customWidth="1"/>
  </cols>
  <sheetData>
    <row r="1" spans="1:7" ht="15" thickBot="1" x14ac:dyDescent="0.4">
      <c r="A1" s="4" t="s">
        <v>42</v>
      </c>
      <c r="B1" s="35" t="s">
        <v>43</v>
      </c>
      <c r="C1" s="36"/>
      <c r="D1" s="22" t="s">
        <v>130</v>
      </c>
    </row>
    <row r="2" spans="1:7" ht="15" thickBot="1" x14ac:dyDescent="0.4">
      <c r="A2" s="6" t="s">
        <v>0</v>
      </c>
      <c r="B2" s="32" t="s">
        <v>44</v>
      </c>
      <c r="C2" s="32"/>
      <c r="D2" s="6"/>
      <c r="F2" s="37" t="s">
        <v>45</v>
      </c>
      <c r="G2" s="38"/>
    </row>
    <row r="3" spans="1:7" ht="15" thickBot="1" x14ac:dyDescent="0.4">
      <c r="A3" s="6" t="s">
        <v>172</v>
      </c>
      <c r="B3" s="32" t="s">
        <v>211</v>
      </c>
      <c r="C3" s="32"/>
      <c r="D3" s="6"/>
      <c r="F3" s="3"/>
      <c r="G3" s="3"/>
    </row>
    <row r="4" spans="1:7" x14ac:dyDescent="0.35">
      <c r="A4" t="s">
        <v>212</v>
      </c>
      <c r="B4" s="32" t="s">
        <v>209</v>
      </c>
      <c r="C4" s="32"/>
      <c r="D4" s="13"/>
      <c r="F4" s="7" t="s">
        <v>46</v>
      </c>
      <c r="G4" s="8" t="s">
        <v>47</v>
      </c>
    </row>
    <row r="5" spans="1:7" x14ac:dyDescent="0.35">
      <c r="A5" s="6" t="s">
        <v>1</v>
      </c>
      <c r="B5" s="32" t="s">
        <v>210</v>
      </c>
      <c r="C5" s="32"/>
      <c r="D5" s="6"/>
      <c r="F5" s="9">
        <v>1</v>
      </c>
      <c r="G5" s="10" t="s">
        <v>49</v>
      </c>
    </row>
    <row r="6" spans="1:7" x14ac:dyDescent="0.35">
      <c r="A6" s="6" t="s">
        <v>2</v>
      </c>
      <c r="B6" s="6" t="s">
        <v>48</v>
      </c>
      <c r="C6" s="6"/>
      <c r="D6" s="6"/>
      <c r="F6" s="9">
        <v>2</v>
      </c>
      <c r="G6" s="10" t="s">
        <v>52</v>
      </c>
    </row>
    <row r="7" spans="1:7" x14ac:dyDescent="0.35">
      <c r="A7" s="6" t="s">
        <v>3</v>
      </c>
      <c r="B7" s="6" t="s">
        <v>50</v>
      </c>
      <c r="C7" s="6" t="s">
        <v>51</v>
      </c>
      <c r="D7" s="6"/>
      <c r="F7" s="9">
        <v>3</v>
      </c>
      <c r="G7" s="10" t="s">
        <v>54</v>
      </c>
    </row>
    <row r="8" spans="1:7" ht="15" thickBot="1" x14ac:dyDescent="0.4">
      <c r="A8" s="6" t="s">
        <v>4</v>
      </c>
      <c r="B8" s="6" t="s">
        <v>50</v>
      </c>
      <c r="C8" s="6" t="s">
        <v>53</v>
      </c>
      <c r="D8" s="13"/>
      <c r="F8" s="11">
        <v>4</v>
      </c>
      <c r="G8" s="12" t="s">
        <v>56</v>
      </c>
    </row>
    <row r="9" spans="1:7" ht="15" thickBot="1" x14ac:dyDescent="0.4">
      <c r="A9" s="6" t="s">
        <v>5</v>
      </c>
      <c r="B9" s="6" t="s">
        <v>50</v>
      </c>
      <c r="C9" s="6" t="s">
        <v>55</v>
      </c>
      <c r="D9" s="6"/>
    </row>
    <row r="10" spans="1:7" ht="15" thickBot="1" x14ac:dyDescent="0.4">
      <c r="A10" s="6" t="s">
        <v>6</v>
      </c>
      <c r="B10" s="6" t="s">
        <v>50</v>
      </c>
      <c r="C10" s="6" t="s">
        <v>57</v>
      </c>
      <c r="D10" s="6"/>
      <c r="F10" s="33" t="s">
        <v>69</v>
      </c>
      <c r="G10" s="34"/>
    </row>
    <row r="11" spans="1:7" ht="15" thickBot="1" x14ac:dyDescent="0.4">
      <c r="A11" s="6" t="s">
        <v>7</v>
      </c>
      <c r="B11" s="6" t="s">
        <v>50</v>
      </c>
      <c r="C11" s="6" t="s">
        <v>58</v>
      </c>
      <c r="D11" s="6"/>
      <c r="F11" s="5"/>
    </row>
    <row r="12" spans="1:7" ht="15" thickBot="1" x14ac:dyDescent="0.4">
      <c r="A12" s="6" t="s">
        <v>8</v>
      </c>
      <c r="B12" s="6" t="s">
        <v>50</v>
      </c>
      <c r="C12" s="6" t="s">
        <v>59</v>
      </c>
      <c r="D12" s="13"/>
      <c r="F12" s="14" t="s">
        <v>46</v>
      </c>
      <c r="G12" s="15" t="s">
        <v>70</v>
      </c>
    </row>
    <row r="13" spans="1:7" x14ac:dyDescent="0.35">
      <c r="A13" s="6" t="s">
        <v>9</v>
      </c>
      <c r="B13" s="6" t="s">
        <v>50</v>
      </c>
      <c r="C13" s="6" t="s">
        <v>60</v>
      </c>
      <c r="D13" s="6"/>
      <c r="F13" s="7">
        <v>1</v>
      </c>
      <c r="G13" s="16" t="s">
        <v>96</v>
      </c>
    </row>
    <row r="14" spans="1:7" x14ac:dyDescent="0.35">
      <c r="A14" s="6" t="s">
        <v>10</v>
      </c>
      <c r="B14" s="6" t="s">
        <v>50</v>
      </c>
      <c r="C14" s="6" t="s">
        <v>61</v>
      </c>
      <c r="D14" s="6"/>
      <c r="F14" s="17">
        <v>2</v>
      </c>
      <c r="G14" s="18" t="s">
        <v>97</v>
      </c>
    </row>
    <row r="15" spans="1:7" x14ac:dyDescent="0.35">
      <c r="A15" s="6" t="s">
        <v>11</v>
      </c>
      <c r="B15" s="6" t="s">
        <v>50</v>
      </c>
      <c r="C15" s="6" t="s">
        <v>62</v>
      </c>
      <c r="D15" s="6"/>
      <c r="F15" s="17">
        <v>3</v>
      </c>
      <c r="G15" s="18" t="s">
        <v>76</v>
      </c>
    </row>
    <row r="16" spans="1:7" x14ac:dyDescent="0.35">
      <c r="A16" s="6" t="s">
        <v>12</v>
      </c>
      <c r="B16" s="6" t="s">
        <v>50</v>
      </c>
      <c r="C16" s="6" t="s">
        <v>63</v>
      </c>
      <c r="D16" s="13"/>
      <c r="F16" s="17">
        <v>4</v>
      </c>
      <c r="G16" s="18" t="s">
        <v>98</v>
      </c>
    </row>
    <row r="17" spans="1:7" x14ac:dyDescent="0.35">
      <c r="A17" s="6" t="s">
        <v>13</v>
      </c>
      <c r="B17" s="6" t="s">
        <v>50</v>
      </c>
      <c r="C17" s="13" t="s">
        <v>64</v>
      </c>
      <c r="D17" s="6"/>
      <c r="F17" s="17">
        <v>5</v>
      </c>
      <c r="G17" s="18" t="s">
        <v>82</v>
      </c>
    </row>
    <row r="18" spans="1:7" ht="15" customHeight="1" x14ac:dyDescent="0.35">
      <c r="A18" s="6" t="s">
        <v>14</v>
      </c>
      <c r="B18" s="6" t="s">
        <v>50</v>
      </c>
      <c r="C18" s="6" t="s">
        <v>65</v>
      </c>
      <c r="D18" s="6"/>
      <c r="F18" s="17">
        <v>6</v>
      </c>
      <c r="G18" s="18" t="s">
        <v>99</v>
      </c>
    </row>
    <row r="19" spans="1:7" ht="15" customHeight="1" x14ac:dyDescent="0.35">
      <c r="A19" s="6" t="s">
        <v>15</v>
      </c>
      <c r="B19" s="6" t="s">
        <v>50</v>
      </c>
      <c r="C19" s="6" t="s">
        <v>66</v>
      </c>
      <c r="D19" s="6"/>
      <c r="F19" s="17">
        <v>7</v>
      </c>
      <c r="G19" s="18" t="s">
        <v>100</v>
      </c>
    </row>
    <row r="20" spans="1:7" ht="15" customHeight="1" x14ac:dyDescent="0.35">
      <c r="A20" s="6" t="s">
        <v>16</v>
      </c>
      <c r="B20" s="6" t="s">
        <v>50</v>
      </c>
      <c r="C20" s="6" t="s">
        <v>91</v>
      </c>
      <c r="D20" s="13"/>
      <c r="F20" s="17">
        <v>8</v>
      </c>
      <c r="G20" s="18" t="s">
        <v>77</v>
      </c>
    </row>
    <row r="21" spans="1:7" ht="15" customHeight="1" x14ac:dyDescent="0.35">
      <c r="A21" s="6" t="s">
        <v>17</v>
      </c>
      <c r="B21" s="6" t="s">
        <v>50</v>
      </c>
      <c r="C21" s="6" t="s">
        <v>67</v>
      </c>
      <c r="D21" s="6"/>
      <c r="F21" s="17">
        <v>9</v>
      </c>
      <c r="G21" s="18" t="s">
        <v>80</v>
      </c>
    </row>
    <row r="22" spans="1:7" ht="15" customHeight="1" x14ac:dyDescent="0.35">
      <c r="A22" s="6" t="s">
        <v>121</v>
      </c>
      <c r="B22" s="6" t="s">
        <v>50</v>
      </c>
      <c r="C22" s="6" t="s">
        <v>120</v>
      </c>
      <c r="D22" s="6"/>
      <c r="F22" s="17">
        <v>10</v>
      </c>
      <c r="G22" s="18" t="s">
        <v>116</v>
      </c>
    </row>
    <row r="23" spans="1:7" ht="15" customHeight="1" x14ac:dyDescent="0.35">
      <c r="A23" s="6" t="s">
        <v>18</v>
      </c>
      <c r="B23" s="6" t="s">
        <v>68</v>
      </c>
      <c r="C23" s="6" t="s">
        <v>51</v>
      </c>
      <c r="D23" s="6"/>
      <c r="F23" s="17">
        <v>11</v>
      </c>
      <c r="G23" s="18" t="s">
        <v>71</v>
      </c>
    </row>
    <row r="24" spans="1:7" ht="15" customHeight="1" x14ac:dyDescent="0.35">
      <c r="A24" s="6" t="s">
        <v>19</v>
      </c>
      <c r="B24" s="6" t="s">
        <v>68</v>
      </c>
      <c r="C24" s="6" t="s">
        <v>53</v>
      </c>
      <c r="D24" s="13"/>
      <c r="F24" s="17">
        <v>12</v>
      </c>
      <c r="G24" s="18" t="s">
        <v>101</v>
      </c>
    </row>
    <row r="25" spans="1:7" ht="15" customHeight="1" x14ac:dyDescent="0.35">
      <c r="A25" s="6" t="s">
        <v>20</v>
      </c>
      <c r="B25" s="6" t="s">
        <v>68</v>
      </c>
      <c r="C25" s="6" t="s">
        <v>55</v>
      </c>
      <c r="D25" s="6"/>
      <c r="F25" s="9">
        <v>13</v>
      </c>
      <c r="G25" s="18" t="s">
        <v>117</v>
      </c>
    </row>
    <row r="26" spans="1:7" ht="15" customHeight="1" x14ac:dyDescent="0.35">
      <c r="A26" s="6" t="s">
        <v>21</v>
      </c>
      <c r="B26" s="6" t="s">
        <v>68</v>
      </c>
      <c r="C26" s="6" t="s">
        <v>57</v>
      </c>
      <c r="D26" s="6"/>
      <c r="F26" s="9">
        <v>14</v>
      </c>
      <c r="G26" s="18" t="s">
        <v>73</v>
      </c>
    </row>
    <row r="27" spans="1:7" ht="15" customHeight="1" x14ac:dyDescent="0.35">
      <c r="A27" s="6" t="s">
        <v>22</v>
      </c>
      <c r="B27" s="6" t="s">
        <v>68</v>
      </c>
      <c r="C27" s="6" t="s">
        <v>58</v>
      </c>
      <c r="D27" s="6"/>
      <c r="F27" s="9">
        <v>15</v>
      </c>
      <c r="G27" s="18" t="s">
        <v>74</v>
      </c>
    </row>
    <row r="28" spans="1:7" ht="15" customHeight="1" x14ac:dyDescent="0.35">
      <c r="A28" s="6" t="s">
        <v>23</v>
      </c>
      <c r="B28" s="6" t="s">
        <v>68</v>
      </c>
      <c r="C28" s="6" t="s">
        <v>59</v>
      </c>
      <c r="D28" s="13"/>
      <c r="F28" s="9">
        <v>16</v>
      </c>
      <c r="G28" s="18" t="s">
        <v>102</v>
      </c>
    </row>
    <row r="29" spans="1:7" ht="15" customHeight="1" x14ac:dyDescent="0.35">
      <c r="A29" s="6" t="s">
        <v>24</v>
      </c>
      <c r="B29" s="6" t="s">
        <v>68</v>
      </c>
      <c r="C29" s="6" t="s">
        <v>60</v>
      </c>
      <c r="D29" s="6"/>
      <c r="F29" s="9">
        <v>17</v>
      </c>
      <c r="G29" s="18" t="s">
        <v>72</v>
      </c>
    </row>
    <row r="30" spans="1:7" ht="15" customHeight="1" x14ac:dyDescent="0.35">
      <c r="A30" s="6" t="s">
        <v>25</v>
      </c>
      <c r="B30" s="6" t="s">
        <v>68</v>
      </c>
      <c r="C30" s="6" t="s">
        <v>61</v>
      </c>
      <c r="D30" s="6"/>
      <c r="F30" s="9">
        <v>18</v>
      </c>
      <c r="G30" s="18" t="s">
        <v>112</v>
      </c>
    </row>
    <row r="31" spans="1:7" ht="15" customHeight="1" x14ac:dyDescent="0.35">
      <c r="A31" s="6" t="s">
        <v>26</v>
      </c>
      <c r="B31" s="6" t="s">
        <v>68</v>
      </c>
      <c r="C31" s="6" t="s">
        <v>62</v>
      </c>
      <c r="D31" s="6"/>
      <c r="F31" s="9">
        <v>19</v>
      </c>
      <c r="G31" s="18" t="s">
        <v>113</v>
      </c>
    </row>
    <row r="32" spans="1:7" ht="15" customHeight="1" x14ac:dyDescent="0.35">
      <c r="A32" s="6" t="s">
        <v>27</v>
      </c>
      <c r="B32" s="6" t="s">
        <v>68</v>
      </c>
      <c r="C32" s="6" t="s">
        <v>63</v>
      </c>
      <c r="D32" s="13"/>
      <c r="F32" s="9">
        <v>20</v>
      </c>
      <c r="G32" s="18" t="s">
        <v>114</v>
      </c>
    </row>
    <row r="33" spans="1:7" ht="15" customHeight="1" x14ac:dyDescent="0.35">
      <c r="A33" s="6" t="s">
        <v>28</v>
      </c>
      <c r="B33" s="6" t="s">
        <v>68</v>
      </c>
      <c r="C33" s="13" t="s">
        <v>64</v>
      </c>
      <c r="D33" s="6"/>
      <c r="F33" s="9">
        <v>21</v>
      </c>
      <c r="G33" s="18" t="s">
        <v>103</v>
      </c>
    </row>
    <row r="34" spans="1:7" ht="15" customHeight="1" x14ac:dyDescent="0.35">
      <c r="A34" s="6" t="s">
        <v>29</v>
      </c>
      <c r="B34" s="6" t="s">
        <v>68</v>
      </c>
      <c r="C34" s="6" t="s">
        <v>65</v>
      </c>
      <c r="D34" s="6"/>
      <c r="F34" s="9">
        <v>22</v>
      </c>
      <c r="G34" s="18" t="s">
        <v>79</v>
      </c>
    </row>
    <row r="35" spans="1:7" ht="15" customHeight="1" x14ac:dyDescent="0.35">
      <c r="A35" s="6" t="s">
        <v>30</v>
      </c>
      <c r="B35" s="6" t="s">
        <v>68</v>
      </c>
      <c r="C35" s="6" t="s">
        <v>66</v>
      </c>
      <c r="D35" s="6"/>
      <c r="F35" s="9">
        <v>23</v>
      </c>
      <c r="G35" s="18" t="s">
        <v>75</v>
      </c>
    </row>
    <row r="36" spans="1:7" ht="15" customHeight="1" x14ac:dyDescent="0.35">
      <c r="A36" s="6" t="s">
        <v>31</v>
      </c>
      <c r="B36" s="6" t="s">
        <v>68</v>
      </c>
      <c r="C36" s="6" t="s">
        <v>91</v>
      </c>
      <c r="D36" s="13"/>
      <c r="F36" s="9">
        <v>24</v>
      </c>
      <c r="G36" s="18" t="s">
        <v>104</v>
      </c>
    </row>
    <row r="37" spans="1:7" ht="15" customHeight="1" x14ac:dyDescent="0.35">
      <c r="A37" s="6" t="s">
        <v>32</v>
      </c>
      <c r="B37" s="6" t="s">
        <v>68</v>
      </c>
      <c r="C37" s="6" t="s">
        <v>67</v>
      </c>
      <c r="D37" s="6"/>
      <c r="F37" s="9">
        <v>25</v>
      </c>
      <c r="G37" s="18" t="s">
        <v>84</v>
      </c>
    </row>
    <row r="38" spans="1:7" ht="15" customHeight="1" x14ac:dyDescent="0.35">
      <c r="A38" s="6" t="s">
        <v>121</v>
      </c>
      <c r="B38" s="6" t="s">
        <v>68</v>
      </c>
      <c r="C38" s="6" t="s">
        <v>120</v>
      </c>
      <c r="D38" s="6"/>
      <c r="F38" s="9">
        <v>26</v>
      </c>
      <c r="G38" s="18" t="s">
        <v>127</v>
      </c>
    </row>
    <row r="39" spans="1:7" ht="15" customHeight="1" x14ac:dyDescent="0.35">
      <c r="A39" s="6" t="s">
        <v>33</v>
      </c>
      <c r="B39" s="6" t="s">
        <v>78</v>
      </c>
      <c r="C39" s="6"/>
      <c r="D39" s="6"/>
      <c r="F39" s="9">
        <v>27</v>
      </c>
      <c r="G39" s="18" t="s">
        <v>128</v>
      </c>
    </row>
    <row r="40" spans="1:7" ht="15" customHeight="1" x14ac:dyDescent="0.35">
      <c r="A40" s="6" t="s">
        <v>34</v>
      </c>
      <c r="B40" s="32" t="s">
        <v>81</v>
      </c>
      <c r="C40" s="32"/>
      <c r="D40" s="13"/>
      <c r="F40" s="9">
        <v>28</v>
      </c>
      <c r="G40" s="18" t="s">
        <v>129</v>
      </c>
    </row>
    <row r="41" spans="1:7" ht="15" customHeight="1" x14ac:dyDescent="0.35">
      <c r="A41" s="6" t="s">
        <v>35</v>
      </c>
      <c r="B41" s="32" t="s">
        <v>83</v>
      </c>
      <c r="C41" s="32"/>
      <c r="D41" s="6"/>
      <c r="F41" s="9">
        <v>29</v>
      </c>
      <c r="G41" s="18" t="s">
        <v>124</v>
      </c>
    </row>
    <row r="42" spans="1:7" ht="15" customHeight="1" x14ac:dyDescent="0.35">
      <c r="A42" s="6" t="s">
        <v>36</v>
      </c>
      <c r="B42" s="32" t="s">
        <v>85</v>
      </c>
      <c r="C42" s="32"/>
      <c r="D42" s="6"/>
      <c r="F42" s="9">
        <v>30</v>
      </c>
      <c r="G42" s="18" t="s">
        <v>125</v>
      </c>
    </row>
    <row r="43" spans="1:7" ht="15" customHeight="1" x14ac:dyDescent="0.35">
      <c r="A43" s="6" t="s">
        <v>37</v>
      </c>
      <c r="B43" s="32" t="s">
        <v>86</v>
      </c>
      <c r="C43" s="32"/>
      <c r="D43" s="6"/>
      <c r="F43" s="9">
        <v>31</v>
      </c>
      <c r="G43" s="18" t="s">
        <v>126</v>
      </c>
    </row>
    <row r="44" spans="1:7" ht="15" customHeight="1" x14ac:dyDescent="0.35">
      <c r="A44" s="6" t="s">
        <v>38</v>
      </c>
      <c r="B44" s="32" t="s">
        <v>87</v>
      </c>
      <c r="C44" s="32"/>
      <c r="D44" s="13"/>
      <c r="F44" s="9">
        <v>32</v>
      </c>
      <c r="G44" s="18" t="s">
        <v>201</v>
      </c>
    </row>
    <row r="45" spans="1:7" ht="15" customHeight="1" x14ac:dyDescent="0.35">
      <c r="A45" s="6" t="s">
        <v>39</v>
      </c>
      <c r="B45" s="32" t="s">
        <v>88</v>
      </c>
      <c r="C45" s="32"/>
      <c r="D45" s="6"/>
      <c r="F45" s="9">
        <v>33</v>
      </c>
      <c r="G45" s="18" t="s">
        <v>202</v>
      </c>
    </row>
    <row r="46" spans="1:7" ht="15" customHeight="1" x14ac:dyDescent="0.35">
      <c r="A46" s="6" t="s">
        <v>40</v>
      </c>
      <c r="B46" s="32" t="s">
        <v>89</v>
      </c>
      <c r="C46" s="32"/>
      <c r="D46" s="6"/>
      <c r="F46" s="9">
        <v>34</v>
      </c>
      <c r="G46" s="18" t="s">
        <v>203</v>
      </c>
    </row>
    <row r="47" spans="1:7" ht="15" customHeight="1" x14ac:dyDescent="0.35">
      <c r="A47" s="6" t="s">
        <v>41</v>
      </c>
      <c r="B47" s="32" t="s">
        <v>90</v>
      </c>
      <c r="C47" s="32"/>
      <c r="D47" s="6"/>
      <c r="F47" s="9">
        <v>35</v>
      </c>
      <c r="G47" s="18" t="s">
        <v>204</v>
      </c>
    </row>
    <row r="48" spans="1:7" ht="15" customHeight="1" thickBot="1" x14ac:dyDescent="0.4">
      <c r="F48" s="11">
        <v>99</v>
      </c>
      <c r="G48" s="19" t="s">
        <v>115</v>
      </c>
    </row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</sheetData>
  <mergeCells count="15">
    <mergeCell ref="F10:G10"/>
    <mergeCell ref="B1:C1"/>
    <mergeCell ref="B2:C2"/>
    <mergeCell ref="F2:G2"/>
    <mergeCell ref="B5:C5"/>
    <mergeCell ref="B4:C4"/>
    <mergeCell ref="B3:C3"/>
    <mergeCell ref="B45:C45"/>
    <mergeCell ref="B46:C46"/>
    <mergeCell ref="B47:C47"/>
    <mergeCell ref="B40:C40"/>
    <mergeCell ref="B41:C41"/>
    <mergeCell ref="B42:C42"/>
    <mergeCell ref="B43:C43"/>
    <mergeCell ref="B44:C4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73e864-269c-4581-a6d8-11c4c5527d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F344BC92B83439588EAB641FF8174" ma:contentTypeVersion="18" ma:contentTypeDescription="Create a new document." ma:contentTypeScope="" ma:versionID="d9de5b51dcda471a5c379ca974212df6">
  <xsd:schema xmlns:xsd="http://www.w3.org/2001/XMLSchema" xmlns:xs="http://www.w3.org/2001/XMLSchema" xmlns:p="http://schemas.microsoft.com/office/2006/metadata/properties" xmlns:ns3="8773e864-269c-4581-a6d8-11c4c5527d7d" xmlns:ns4="b3e697ad-95d5-4723-b79e-63d240d4913a" targetNamespace="http://schemas.microsoft.com/office/2006/metadata/properties" ma:root="true" ma:fieldsID="5a7f01ba2161b3fdd0be42a2694ffa2d" ns3:_="" ns4:_="">
    <xsd:import namespace="8773e864-269c-4581-a6d8-11c4c5527d7d"/>
    <xsd:import namespace="b3e697ad-95d5-4723-b79e-63d240d491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3e864-269c-4581-a6d8-11c4c5527d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697ad-95d5-4723-b79e-63d240d4913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7A0659-3136-4510-A438-33FE9C07CDC8}">
  <ds:schemaRefs>
    <ds:schemaRef ds:uri="http://www.w3.org/XML/1998/namespace"/>
    <ds:schemaRef ds:uri="http://schemas.microsoft.com/office/2006/documentManagement/types"/>
    <ds:schemaRef ds:uri="8773e864-269c-4581-a6d8-11c4c5527d7d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b3e697ad-95d5-4723-b79e-63d240d4913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4E3717-5225-4249-B22C-15B6AE4B36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EF595B-81EE-46C6-9DBD-69CFCD7F5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3e864-269c-4581-a6d8-11c4c5527d7d"/>
    <ds:schemaRef ds:uri="b3e697ad-95d5-4723-b79e-63d240d491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Sheet5</vt:lpstr>
      <vt:lpstr>Student_Response_2024</vt:lpstr>
      <vt:lpstr>Q 4&amp;5</vt:lpstr>
      <vt:lpstr>Q 2&amp;3</vt:lpstr>
      <vt:lpstr>Variable_Definition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Liang</dc:creator>
  <cp:lastModifiedBy>akeem shadare</cp:lastModifiedBy>
  <dcterms:created xsi:type="dcterms:W3CDTF">2019-01-25T19:47:06Z</dcterms:created>
  <dcterms:modified xsi:type="dcterms:W3CDTF">2024-10-01T16:21:43Z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0x0101000E5F344BC92B83439588EAB641FF8174</vt:lpwstr>
  </property>
</Properties>
</file>